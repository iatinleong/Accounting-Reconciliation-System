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oe.guo\Desktop\3-2\範本\"/>
    </mc:Choice>
  </mc:AlternateContent>
  <xr:revisionPtr revIDLastSave="0" documentId="13_ncr:1_{338DE2AB-6186-40F1-9C62-1A94992C5317}" xr6:coauthVersionLast="47" xr6:coauthVersionMax="47" xr10:uidLastSave="{00000000-0000-0000-0000-000000000000}"/>
  <bookViews>
    <workbookView xWindow="-120" yWindow="-120" windowWidth="29040" windowHeight="15720" tabRatio="584" firstSheet="4" activeTab="4" xr2:uid="{00000000-000D-0000-FFFF-FFFF00000000}"/>
  </bookViews>
  <sheets>
    <sheet name="公式" sheetId="165" state="hidden" r:id="rId1"/>
    <sheet name="QAA_Internal_WorkSheet" sheetId="161" state="hidden" r:id="rId2"/>
    <sheet name="QAA_Sample_Data_WorkSheet" sheetId="162" state="hidden" r:id="rId3"/>
    <sheet name="Report_Design_Format_HSheet" sheetId="163" state="hidden" r:id="rId4"/>
    <sheet name="參數頁" sheetId="1" r:id="rId5"/>
    <sheet name="114118" sheetId="2" r:id="rId6"/>
    <sheet name="114138-04" sheetId="2221" r:id="rId7"/>
    <sheet name="114138-14" sheetId="2222" r:id="rId8"/>
    <sheet name="114140" sheetId="2223" r:id="rId9"/>
    <sheet name="114172-05" sheetId="2224" r:id="rId10"/>
    <sheet name="114172-08" sheetId="2225" r:id="rId11"/>
    <sheet name="114172-18" sheetId="2226" r:id="rId12"/>
    <sheet name="114182" sheetId="2227" r:id="rId13"/>
    <sheet name="119010" sheetId="2228" r:id="rId14"/>
    <sheet name="129030-01" sheetId="2229" r:id="rId15"/>
    <sheet name="129030-99" sheetId="2230" r:id="rId16"/>
    <sheet name="214159-03" sheetId="2231" r:id="rId17"/>
  </sheets>
  <externalReferences>
    <externalReference r:id="rId18"/>
  </externalReferences>
  <definedNames>
    <definedName name="_xlnm._FilterDatabase" localSheetId="5" hidden="1">'114118'!$A$5:$AR$894</definedName>
    <definedName name="_xlnm._FilterDatabase" localSheetId="6" hidden="1">'114138-04'!$A$5:$AR$893</definedName>
    <definedName name="_xlnm._FilterDatabase" localSheetId="7" hidden="1">'114138-14'!$A$5:$AR$892</definedName>
    <definedName name="_xlnm._FilterDatabase" localSheetId="8" hidden="1">'114140'!$A$5:$AR$891</definedName>
    <definedName name="_xlnm._FilterDatabase" localSheetId="9" hidden="1">'114172-05'!$A$5:$AR$890</definedName>
    <definedName name="_xlnm._FilterDatabase" localSheetId="10" hidden="1">'114172-08'!$A$5:$AR$889</definedName>
    <definedName name="_xlnm._FilterDatabase" localSheetId="11" hidden="1">'114172-18'!$A$5:$AR$888</definedName>
    <definedName name="_xlnm._FilterDatabase" localSheetId="12" hidden="1">'114182'!$A$5:$AR$887</definedName>
    <definedName name="_xlnm._FilterDatabase" localSheetId="13" hidden="1">'119010'!$A$5:$AR$886</definedName>
    <definedName name="_xlnm._FilterDatabase" localSheetId="14" hidden="1">'129030-01'!$A$5:$AR$885</definedName>
    <definedName name="_xlnm._FilterDatabase" localSheetId="15" hidden="1">'129030-99'!$A$5:$AR$884</definedName>
    <definedName name="_xlnm._FilterDatabase" localSheetId="16" hidden="1">'214159-03'!$A$5:$AR$883</definedName>
    <definedName name="_xlnm._FilterDatabase" localSheetId="4" hidden="1">參數頁!$F$1:$I$121</definedName>
    <definedName name="M_AC">參數頁!$B$6</definedName>
    <definedName name="M_BU">參數頁!$B$1</definedName>
    <definedName name="M_BUNAME">參數頁!$C$1</definedName>
    <definedName name="M_DATE">參數頁!$B$5</definedName>
    <definedName name="M_DATE_NEXT">參數頁!$B$8</definedName>
    <definedName name="M_LDG">參數頁!$B$2</definedName>
    <definedName name="M_MyRange">參數頁!$F$1:$I$530</definedName>
    <definedName name="M_PRD_FROM">參數頁!$B$3</definedName>
    <definedName name="M_PRD_LAST">參數頁!$B$4</definedName>
    <definedName name="M_PRD_TO">參數頁!$C$3</definedName>
    <definedName name="M_T1">參數頁!$B$10</definedName>
    <definedName name="M_T10">參數頁!$B$19</definedName>
    <definedName name="M_T2">參數頁!$B$11</definedName>
    <definedName name="M_T3">參數頁!$B$12</definedName>
    <definedName name="M_T4">參數頁!$B$13</definedName>
    <definedName name="M_T5">參數頁!$B$14</definedName>
    <definedName name="M_T6">參數頁!$B$15</definedName>
    <definedName name="M_T7">參數頁!$B$16</definedName>
    <definedName name="M_T8">參數頁!$B$17</definedName>
    <definedName name="M_T9">參數頁!$B$18</definedName>
    <definedName name="_xlnm.Print_Titles" localSheetId="5">'114118'!$1:$5</definedName>
    <definedName name="_xlnm.Print_Titles" localSheetId="6">'114138-04'!$1:$5</definedName>
    <definedName name="_xlnm.Print_Titles" localSheetId="7">'114138-14'!$1:$5</definedName>
    <definedName name="_xlnm.Print_Titles" localSheetId="8">'114140'!$1:$5</definedName>
    <definedName name="_xlnm.Print_Titles" localSheetId="9">'114172-05'!$1:$5</definedName>
    <definedName name="_xlnm.Print_Titles" localSheetId="10">'114172-08'!$1:$5</definedName>
    <definedName name="_xlnm.Print_Titles" localSheetId="11">'114172-18'!$1:$5</definedName>
    <definedName name="_xlnm.Print_Titles" localSheetId="12">'114182'!$1:$5</definedName>
    <definedName name="_xlnm.Print_Titles" localSheetId="13">'119010'!$1:$5</definedName>
    <definedName name="_xlnm.Print_Titles" localSheetId="14">'129030-01'!$1:$5</definedName>
    <definedName name="_xlnm.Print_Titles" localSheetId="15">'129030-99'!$1:$5</definedName>
    <definedName name="_xlnm.Print_Titles" localSheetId="16">'214159-03'!$1:$5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2231" l="1"/>
  <c r="E22" i="2231"/>
  <c r="K22" i="2231"/>
  <c r="N22" i="2231"/>
  <c r="G3" i="2231"/>
  <c r="G4" i="2231"/>
  <c r="G6" i="2231"/>
  <c r="F6" i="2231" s="1"/>
  <c r="G7" i="2231"/>
  <c r="F7" i="2231" s="1"/>
  <c r="G8" i="2231"/>
  <c r="F8" i="2231" s="1"/>
  <c r="G9" i="2231"/>
  <c r="F9" i="2231" s="1"/>
  <c r="G10" i="2231"/>
  <c r="F10" i="2231" s="1"/>
  <c r="G11" i="2231"/>
  <c r="F11" i="2231" s="1"/>
  <c r="G12" i="2231"/>
  <c r="F12" i="2231" s="1"/>
  <c r="G13" i="2231"/>
  <c r="F13" i="2231" s="1"/>
  <c r="G14" i="2231"/>
  <c r="F14" i="2231" s="1"/>
  <c r="G15" i="2231"/>
  <c r="F15" i="2231" s="1"/>
  <c r="G16" i="2231"/>
  <c r="F16" i="2231" s="1"/>
  <c r="G17" i="2231"/>
  <c r="F17" i="2231" s="1"/>
  <c r="G18" i="2231"/>
  <c r="F18" i="2231" s="1"/>
  <c r="G19" i="2231"/>
  <c r="F19" i="2231" s="1"/>
  <c r="G20" i="2231"/>
  <c r="F20" i="2231" s="1"/>
  <c r="G21" i="2231"/>
  <c r="D615" i="2230"/>
  <c r="E615" i="2230"/>
  <c r="K615" i="2230"/>
  <c r="N615" i="2230"/>
  <c r="G3" i="2230"/>
  <c r="A6" i="2231"/>
  <c r="Z3" i="2231"/>
  <c r="G4" i="2230"/>
  <c r="G22" i="2231" l="1"/>
  <c r="F21" i="2231"/>
  <c r="G6" i="2230"/>
  <c r="F6" i="2230" s="1"/>
  <c r="G7" i="2230"/>
  <c r="F7" i="2230" s="1"/>
  <c r="G8" i="2230"/>
  <c r="F8" i="2230" s="1"/>
  <c r="G9" i="2230"/>
  <c r="F9" i="2230" s="1"/>
  <c r="G10" i="2230"/>
  <c r="F10" i="2230" s="1"/>
  <c r="G11" i="2230"/>
  <c r="F11" i="2230" s="1"/>
  <c r="G12" i="2230"/>
  <c r="F12" i="2230" s="1"/>
  <c r="G13" i="2230"/>
  <c r="F13" i="2230" s="1"/>
  <c r="G14" i="2230"/>
  <c r="F14" i="2230" s="1"/>
  <c r="G15" i="2230"/>
  <c r="F15" i="2230" s="1"/>
  <c r="G16" i="2230"/>
  <c r="F16" i="2230" s="1"/>
  <c r="G17" i="2230"/>
  <c r="F17" i="2230" s="1"/>
  <c r="G18" i="2230"/>
  <c r="F18" i="2230" s="1"/>
  <c r="G19" i="2230"/>
  <c r="F19" i="2230" s="1"/>
  <c r="G20" i="2230"/>
  <c r="F20" i="2230" s="1"/>
  <c r="G21" i="2230"/>
  <c r="F21" i="2230" s="1"/>
  <c r="G22" i="2230"/>
  <c r="F22" i="2230" s="1"/>
  <c r="G23" i="2230"/>
  <c r="F23" i="2230" s="1"/>
  <c r="G24" i="2230"/>
  <c r="F24" i="2230" s="1"/>
  <c r="G25" i="2230"/>
  <c r="F25" i="2230" s="1"/>
  <c r="G26" i="2230"/>
  <c r="F26" i="2230" s="1"/>
  <c r="G27" i="2230"/>
  <c r="F27" i="2230" s="1"/>
  <c r="G28" i="2230"/>
  <c r="F28" i="2230" s="1"/>
  <c r="G29" i="2230"/>
  <c r="F29" i="2230" s="1"/>
  <c r="G30" i="2230"/>
  <c r="F30" i="2230" s="1"/>
  <c r="G31" i="2230"/>
  <c r="F31" i="2230" s="1"/>
  <c r="G32" i="2230"/>
  <c r="F32" i="2230" s="1"/>
  <c r="G33" i="2230"/>
  <c r="F33" i="2230" s="1"/>
  <c r="G34" i="2230"/>
  <c r="F34" i="2230" s="1"/>
  <c r="G35" i="2230"/>
  <c r="F35" i="2230" s="1"/>
  <c r="G36" i="2230"/>
  <c r="F36" i="2230" s="1"/>
  <c r="G37" i="2230"/>
  <c r="F37" i="2230" s="1"/>
  <c r="G38" i="2230"/>
  <c r="F38" i="2230" s="1"/>
  <c r="G39" i="2230"/>
  <c r="F39" i="2230" s="1"/>
  <c r="G40" i="2230"/>
  <c r="F40" i="2230" s="1"/>
  <c r="G41" i="2230"/>
  <c r="F41" i="2230" s="1"/>
  <c r="G42" i="2230"/>
  <c r="F42" i="2230" s="1"/>
  <c r="G43" i="2230"/>
  <c r="F43" i="2230" s="1"/>
  <c r="G44" i="2230"/>
  <c r="F44" i="2230" s="1"/>
  <c r="G45" i="2230"/>
  <c r="F45" i="2230" s="1"/>
  <c r="G46" i="2230"/>
  <c r="F46" i="2230" s="1"/>
  <c r="G47" i="2230"/>
  <c r="F47" i="2230" s="1"/>
  <c r="G48" i="2230"/>
  <c r="F48" i="2230" s="1"/>
  <c r="G49" i="2230"/>
  <c r="F49" i="2230" s="1"/>
  <c r="G50" i="2230"/>
  <c r="F50" i="2230" s="1"/>
  <c r="G51" i="2230"/>
  <c r="F51" i="2230" s="1"/>
  <c r="G52" i="2230"/>
  <c r="F52" i="2230" s="1"/>
  <c r="G53" i="2230"/>
  <c r="F53" i="2230" s="1"/>
  <c r="G54" i="2230"/>
  <c r="F54" i="2230" s="1"/>
  <c r="G55" i="2230"/>
  <c r="F55" i="2230" s="1"/>
  <c r="G56" i="2230"/>
  <c r="F56" i="2230" s="1"/>
  <c r="G57" i="2230"/>
  <c r="F57" i="2230" s="1"/>
  <c r="G58" i="2230"/>
  <c r="F58" i="2230" s="1"/>
  <c r="G59" i="2230"/>
  <c r="F59" i="2230" s="1"/>
  <c r="G60" i="2230"/>
  <c r="F60" i="2230" s="1"/>
  <c r="G61" i="2230"/>
  <c r="F61" i="2230" s="1"/>
  <c r="G62" i="2230"/>
  <c r="F62" i="2230" s="1"/>
  <c r="G63" i="2230"/>
  <c r="F63" i="2230" s="1"/>
  <c r="G64" i="2230"/>
  <c r="F64" i="2230" s="1"/>
  <c r="G65" i="2230"/>
  <c r="F65" i="2230" s="1"/>
  <c r="G66" i="2230"/>
  <c r="F66" i="2230" s="1"/>
  <c r="G67" i="2230"/>
  <c r="F67" i="2230" s="1"/>
  <c r="G68" i="2230"/>
  <c r="F68" i="2230" s="1"/>
  <c r="G69" i="2230"/>
  <c r="F69" i="2230" s="1"/>
  <c r="G70" i="2230"/>
  <c r="F70" i="2230" s="1"/>
  <c r="G71" i="2230"/>
  <c r="F71" i="2230" s="1"/>
  <c r="G72" i="2230"/>
  <c r="F72" i="2230" s="1"/>
  <c r="G73" i="2230"/>
  <c r="F73" i="2230" s="1"/>
  <c r="G74" i="2230"/>
  <c r="F74" i="2230" s="1"/>
  <c r="G75" i="2230"/>
  <c r="F75" i="2230" s="1"/>
  <c r="G76" i="2230"/>
  <c r="F76" i="2230" s="1"/>
  <c r="G77" i="2230"/>
  <c r="F77" i="2230" s="1"/>
  <c r="G78" i="2230"/>
  <c r="F78" i="2230" s="1"/>
  <c r="G79" i="2230"/>
  <c r="F79" i="2230" s="1"/>
  <c r="G80" i="2230"/>
  <c r="F80" i="2230" s="1"/>
  <c r="G81" i="2230"/>
  <c r="F81" i="2230" s="1"/>
  <c r="G82" i="2230"/>
  <c r="F82" i="2230" s="1"/>
  <c r="G83" i="2230"/>
  <c r="F83" i="2230" s="1"/>
  <c r="G84" i="2230"/>
  <c r="F84" i="2230" s="1"/>
  <c r="G85" i="2230"/>
  <c r="F85" i="2230" s="1"/>
  <c r="G86" i="2230"/>
  <c r="F86" i="2230" s="1"/>
  <c r="G87" i="2230"/>
  <c r="F87" i="2230" s="1"/>
  <c r="G88" i="2230"/>
  <c r="F88" i="2230" s="1"/>
  <c r="G89" i="2230"/>
  <c r="F89" i="2230" s="1"/>
  <c r="G90" i="2230"/>
  <c r="F90" i="2230" s="1"/>
  <c r="G91" i="2230"/>
  <c r="F91" i="2230" s="1"/>
  <c r="G92" i="2230"/>
  <c r="F92" i="2230" s="1"/>
  <c r="G93" i="2230"/>
  <c r="F93" i="2230" s="1"/>
  <c r="G94" i="2230"/>
  <c r="F94" i="2230" s="1"/>
  <c r="G95" i="2230"/>
  <c r="F95" i="2230" s="1"/>
  <c r="G96" i="2230"/>
  <c r="F96" i="2230" s="1"/>
  <c r="G97" i="2230"/>
  <c r="F97" i="2230" s="1"/>
  <c r="G98" i="2230"/>
  <c r="F98" i="2230" s="1"/>
  <c r="G99" i="2230"/>
  <c r="F99" i="2230" s="1"/>
  <c r="G100" i="2230"/>
  <c r="F100" i="2230" s="1"/>
  <c r="G101" i="2230"/>
  <c r="F101" i="2230" s="1"/>
  <c r="G102" i="2230"/>
  <c r="F102" i="2230" s="1"/>
  <c r="G103" i="2230"/>
  <c r="F103" i="2230" s="1"/>
  <c r="G104" i="2230"/>
  <c r="F104" i="2230" s="1"/>
  <c r="G105" i="2230"/>
  <c r="F105" i="2230" s="1"/>
  <c r="G106" i="2230"/>
  <c r="F106" i="2230" s="1"/>
  <c r="G107" i="2230"/>
  <c r="F107" i="2230" s="1"/>
  <c r="G108" i="2230"/>
  <c r="F108" i="2230" s="1"/>
  <c r="G109" i="2230"/>
  <c r="F109" i="2230" s="1"/>
  <c r="G110" i="2230"/>
  <c r="F110" i="2230" s="1"/>
  <c r="G111" i="2230"/>
  <c r="F111" i="2230" s="1"/>
  <c r="G112" i="2230"/>
  <c r="F112" i="2230" s="1"/>
  <c r="G113" i="2230"/>
  <c r="F113" i="2230" s="1"/>
  <c r="G114" i="2230"/>
  <c r="F114" i="2230" s="1"/>
  <c r="G115" i="2230"/>
  <c r="F115" i="2230" s="1"/>
  <c r="G116" i="2230"/>
  <c r="F116" i="2230" s="1"/>
  <c r="G117" i="2230"/>
  <c r="F117" i="2230" s="1"/>
  <c r="G118" i="2230"/>
  <c r="F118" i="2230" s="1"/>
  <c r="G119" i="2230"/>
  <c r="F119" i="2230" s="1"/>
  <c r="G120" i="2230"/>
  <c r="F120" i="2230" s="1"/>
  <c r="G121" i="2230"/>
  <c r="F121" i="2230" s="1"/>
  <c r="G122" i="2230"/>
  <c r="F122" i="2230" s="1"/>
  <c r="G123" i="2230"/>
  <c r="F123" i="2230" s="1"/>
  <c r="G124" i="2230"/>
  <c r="F124" i="2230" s="1"/>
  <c r="G125" i="2230"/>
  <c r="F125" i="2230" s="1"/>
  <c r="G126" i="2230"/>
  <c r="F126" i="2230" s="1"/>
  <c r="G127" i="2230"/>
  <c r="F127" i="2230" s="1"/>
  <c r="G128" i="2230"/>
  <c r="F128" i="2230" s="1"/>
  <c r="G129" i="2230"/>
  <c r="F129" i="2230" s="1"/>
  <c r="G130" i="2230"/>
  <c r="F130" i="2230" s="1"/>
  <c r="G131" i="2230"/>
  <c r="F131" i="2230" s="1"/>
  <c r="G132" i="2230"/>
  <c r="F132" i="2230" s="1"/>
  <c r="G133" i="2230"/>
  <c r="F133" i="2230" s="1"/>
  <c r="G134" i="2230"/>
  <c r="F134" i="2230" s="1"/>
  <c r="G135" i="2230"/>
  <c r="F135" i="2230" s="1"/>
  <c r="G136" i="2230"/>
  <c r="F136" i="2230" s="1"/>
  <c r="G137" i="2230"/>
  <c r="F137" i="2230" s="1"/>
  <c r="G138" i="2230"/>
  <c r="F138" i="2230" s="1"/>
  <c r="G139" i="2230"/>
  <c r="F139" i="2230" s="1"/>
  <c r="G140" i="2230"/>
  <c r="F140" i="2230" s="1"/>
  <c r="G141" i="2230"/>
  <c r="F141" i="2230" s="1"/>
  <c r="G142" i="2230"/>
  <c r="F142" i="2230" s="1"/>
  <c r="G143" i="2230"/>
  <c r="F143" i="2230" s="1"/>
  <c r="G144" i="2230"/>
  <c r="F144" i="2230" s="1"/>
  <c r="G145" i="2230"/>
  <c r="F145" i="2230" s="1"/>
  <c r="G146" i="2230"/>
  <c r="F146" i="2230" s="1"/>
  <c r="G147" i="2230"/>
  <c r="F147" i="2230" s="1"/>
  <c r="G148" i="2230"/>
  <c r="F148" i="2230" s="1"/>
  <c r="G149" i="2230"/>
  <c r="F149" i="2230" s="1"/>
  <c r="G150" i="2230"/>
  <c r="F150" i="2230" s="1"/>
  <c r="G151" i="2230"/>
  <c r="F151" i="2230" s="1"/>
  <c r="G152" i="2230"/>
  <c r="F152" i="2230" s="1"/>
  <c r="G153" i="2230"/>
  <c r="F153" i="2230" s="1"/>
  <c r="G154" i="2230"/>
  <c r="F154" i="2230" s="1"/>
  <c r="G155" i="2230"/>
  <c r="F155" i="2230" s="1"/>
  <c r="G156" i="2230"/>
  <c r="F156" i="2230" s="1"/>
  <c r="G157" i="2230"/>
  <c r="F157" i="2230" s="1"/>
  <c r="G158" i="2230"/>
  <c r="F158" i="2230" s="1"/>
  <c r="G159" i="2230"/>
  <c r="F159" i="2230" s="1"/>
  <c r="G160" i="2230"/>
  <c r="F160" i="2230" s="1"/>
  <c r="G161" i="2230"/>
  <c r="F161" i="2230" s="1"/>
  <c r="G162" i="2230"/>
  <c r="F162" i="2230" s="1"/>
  <c r="G163" i="2230"/>
  <c r="F163" i="2230" s="1"/>
  <c r="G164" i="2230"/>
  <c r="F164" i="2230" s="1"/>
  <c r="G165" i="2230"/>
  <c r="F165" i="2230" s="1"/>
  <c r="G166" i="2230"/>
  <c r="F166" i="2230" s="1"/>
  <c r="G167" i="2230"/>
  <c r="F167" i="2230" s="1"/>
  <c r="G168" i="2230"/>
  <c r="F168" i="2230" s="1"/>
  <c r="G169" i="2230"/>
  <c r="F169" i="2230" s="1"/>
  <c r="G170" i="2230"/>
  <c r="F170" i="2230" s="1"/>
  <c r="G171" i="2230"/>
  <c r="F171" i="2230" s="1"/>
  <c r="G172" i="2230"/>
  <c r="F172" i="2230" s="1"/>
  <c r="G173" i="2230"/>
  <c r="F173" i="2230" s="1"/>
  <c r="G174" i="2230"/>
  <c r="F174" i="2230" s="1"/>
  <c r="G175" i="2230"/>
  <c r="F175" i="2230" s="1"/>
  <c r="G176" i="2230"/>
  <c r="F176" i="2230" s="1"/>
  <c r="G177" i="2230"/>
  <c r="F177" i="2230" s="1"/>
  <c r="G178" i="2230"/>
  <c r="F178" i="2230" s="1"/>
  <c r="G179" i="2230"/>
  <c r="F179" i="2230" s="1"/>
  <c r="G180" i="2230"/>
  <c r="F180" i="2230" s="1"/>
  <c r="G181" i="2230"/>
  <c r="F181" i="2230" s="1"/>
  <c r="G182" i="2230"/>
  <c r="F182" i="2230" s="1"/>
  <c r="G183" i="2230"/>
  <c r="F183" i="2230" s="1"/>
  <c r="G184" i="2230"/>
  <c r="F184" i="2230" s="1"/>
  <c r="G185" i="2230"/>
  <c r="F185" i="2230" s="1"/>
  <c r="G186" i="2230"/>
  <c r="F186" i="2230" s="1"/>
  <c r="G187" i="2230"/>
  <c r="F187" i="2230" s="1"/>
  <c r="G188" i="2230"/>
  <c r="F188" i="2230" s="1"/>
  <c r="G189" i="2230"/>
  <c r="F189" i="2230" s="1"/>
  <c r="G190" i="2230"/>
  <c r="F190" i="2230" s="1"/>
  <c r="G191" i="2230"/>
  <c r="F191" i="2230" s="1"/>
  <c r="G192" i="2230"/>
  <c r="F192" i="2230" s="1"/>
  <c r="G193" i="2230"/>
  <c r="F193" i="2230" s="1"/>
  <c r="G194" i="2230"/>
  <c r="F194" i="2230" s="1"/>
  <c r="G195" i="2230"/>
  <c r="F195" i="2230" s="1"/>
  <c r="G196" i="2230"/>
  <c r="F196" i="2230" s="1"/>
  <c r="G197" i="2230"/>
  <c r="F197" i="2230" s="1"/>
  <c r="G198" i="2230"/>
  <c r="F198" i="2230" s="1"/>
  <c r="G199" i="2230"/>
  <c r="F199" i="2230" s="1"/>
  <c r="G200" i="2230"/>
  <c r="F200" i="2230" s="1"/>
  <c r="G201" i="2230"/>
  <c r="F201" i="2230" s="1"/>
  <c r="G202" i="2230"/>
  <c r="F202" i="2230" s="1"/>
  <c r="G203" i="2230"/>
  <c r="F203" i="2230" s="1"/>
  <c r="G204" i="2230"/>
  <c r="F204" i="2230" s="1"/>
  <c r="G205" i="2230"/>
  <c r="F205" i="2230" s="1"/>
  <c r="G206" i="2230"/>
  <c r="F206" i="2230" s="1"/>
  <c r="G207" i="2230"/>
  <c r="F207" i="2230" s="1"/>
  <c r="G208" i="2230"/>
  <c r="F208" i="2230" s="1"/>
  <c r="G209" i="2230"/>
  <c r="F209" i="2230" s="1"/>
  <c r="G210" i="2230"/>
  <c r="F210" i="2230" s="1"/>
  <c r="G211" i="2230"/>
  <c r="F211" i="2230" s="1"/>
  <c r="G212" i="2230"/>
  <c r="F212" i="2230" s="1"/>
  <c r="G213" i="2230"/>
  <c r="F213" i="2230" s="1"/>
  <c r="G214" i="2230"/>
  <c r="F214" i="2230" s="1"/>
  <c r="G215" i="2230"/>
  <c r="F215" i="2230" s="1"/>
  <c r="G216" i="2230"/>
  <c r="F216" i="2230" s="1"/>
  <c r="G217" i="2230"/>
  <c r="F217" i="2230" s="1"/>
  <c r="G218" i="2230"/>
  <c r="F218" i="2230" s="1"/>
  <c r="G219" i="2230"/>
  <c r="F219" i="2230" s="1"/>
  <c r="G220" i="2230"/>
  <c r="F220" i="2230" s="1"/>
  <c r="G221" i="2230"/>
  <c r="F221" i="2230" s="1"/>
  <c r="G222" i="2230"/>
  <c r="F222" i="2230" s="1"/>
  <c r="G223" i="2230"/>
  <c r="F223" i="2230" s="1"/>
  <c r="G224" i="2230"/>
  <c r="F224" i="2230" s="1"/>
  <c r="G225" i="2230"/>
  <c r="F225" i="2230" s="1"/>
  <c r="G226" i="2230"/>
  <c r="F226" i="2230" s="1"/>
  <c r="G227" i="2230"/>
  <c r="F227" i="2230" s="1"/>
  <c r="G228" i="2230"/>
  <c r="F228" i="2230" s="1"/>
  <c r="G229" i="2230"/>
  <c r="F229" i="2230" s="1"/>
  <c r="G230" i="2230"/>
  <c r="F230" i="2230" s="1"/>
  <c r="G231" i="2230"/>
  <c r="F231" i="2230" s="1"/>
  <c r="G232" i="2230"/>
  <c r="F232" i="2230" s="1"/>
  <c r="G233" i="2230"/>
  <c r="F233" i="2230" s="1"/>
  <c r="G234" i="2230"/>
  <c r="F234" i="2230" s="1"/>
  <c r="G235" i="2230"/>
  <c r="F235" i="2230" s="1"/>
  <c r="G236" i="2230"/>
  <c r="F236" i="2230" s="1"/>
  <c r="G237" i="2230"/>
  <c r="F237" i="2230" s="1"/>
  <c r="G238" i="2230"/>
  <c r="F238" i="2230" s="1"/>
  <c r="G239" i="2230"/>
  <c r="F239" i="2230" s="1"/>
  <c r="G240" i="2230"/>
  <c r="F240" i="2230" s="1"/>
  <c r="G241" i="2230"/>
  <c r="F241" i="2230" s="1"/>
  <c r="G242" i="2230"/>
  <c r="F242" i="2230" s="1"/>
  <c r="G243" i="2230"/>
  <c r="F243" i="2230" s="1"/>
  <c r="G244" i="2230"/>
  <c r="F244" i="2230" s="1"/>
  <c r="G245" i="2230"/>
  <c r="F245" i="2230" s="1"/>
  <c r="G246" i="2230"/>
  <c r="F246" i="2230" s="1"/>
  <c r="G247" i="2230"/>
  <c r="F247" i="2230" s="1"/>
  <c r="G248" i="2230"/>
  <c r="F248" i="2230" s="1"/>
  <c r="G249" i="2230"/>
  <c r="F249" i="2230" s="1"/>
  <c r="G250" i="2230"/>
  <c r="F250" i="2230" s="1"/>
  <c r="G251" i="2230"/>
  <c r="F251" i="2230" s="1"/>
  <c r="G252" i="2230"/>
  <c r="F252" i="2230" s="1"/>
  <c r="G253" i="2230"/>
  <c r="F253" i="2230" s="1"/>
  <c r="G254" i="2230"/>
  <c r="F254" i="2230" s="1"/>
  <c r="G255" i="2230"/>
  <c r="F255" i="2230" s="1"/>
  <c r="G256" i="2230"/>
  <c r="F256" i="2230" s="1"/>
  <c r="G257" i="2230"/>
  <c r="F257" i="2230" s="1"/>
  <c r="G258" i="2230"/>
  <c r="F258" i="2230" s="1"/>
  <c r="G259" i="2230"/>
  <c r="F259" i="2230" s="1"/>
  <c r="G260" i="2230"/>
  <c r="F260" i="2230" s="1"/>
  <c r="G261" i="2230"/>
  <c r="F261" i="2230" s="1"/>
  <c r="G262" i="2230"/>
  <c r="F262" i="2230" s="1"/>
  <c r="G263" i="2230"/>
  <c r="F263" i="2230" s="1"/>
  <c r="G264" i="2230"/>
  <c r="F264" i="2230" s="1"/>
  <c r="G265" i="2230"/>
  <c r="F265" i="2230" s="1"/>
  <c r="G266" i="2230"/>
  <c r="F266" i="2230" s="1"/>
  <c r="G267" i="2230"/>
  <c r="F267" i="2230" s="1"/>
  <c r="G268" i="2230"/>
  <c r="F268" i="2230" s="1"/>
  <c r="G269" i="2230"/>
  <c r="F269" i="2230" s="1"/>
  <c r="G270" i="2230"/>
  <c r="F270" i="2230" s="1"/>
  <c r="G271" i="2230"/>
  <c r="F271" i="2230" s="1"/>
  <c r="G272" i="2230"/>
  <c r="F272" i="2230" s="1"/>
  <c r="G273" i="2230"/>
  <c r="F273" i="2230" s="1"/>
  <c r="G274" i="2230"/>
  <c r="F274" i="2230" s="1"/>
  <c r="G275" i="2230"/>
  <c r="F275" i="2230" s="1"/>
  <c r="G276" i="2230"/>
  <c r="F276" i="2230" s="1"/>
  <c r="G277" i="2230"/>
  <c r="F277" i="2230" s="1"/>
  <c r="G278" i="2230"/>
  <c r="F278" i="2230" s="1"/>
  <c r="G279" i="2230"/>
  <c r="F279" i="2230" s="1"/>
  <c r="G280" i="2230"/>
  <c r="F280" i="2230" s="1"/>
  <c r="G281" i="2230"/>
  <c r="F281" i="2230" s="1"/>
  <c r="G282" i="2230"/>
  <c r="F282" i="2230" s="1"/>
  <c r="G283" i="2230"/>
  <c r="F283" i="2230" s="1"/>
  <c r="G284" i="2230"/>
  <c r="F284" i="2230" s="1"/>
  <c r="G285" i="2230"/>
  <c r="F285" i="2230" s="1"/>
  <c r="G286" i="2230"/>
  <c r="F286" i="2230" s="1"/>
  <c r="G287" i="2230"/>
  <c r="F287" i="2230" s="1"/>
  <c r="G288" i="2230"/>
  <c r="F288" i="2230" s="1"/>
  <c r="G289" i="2230"/>
  <c r="F289" i="2230" s="1"/>
  <c r="G290" i="2230"/>
  <c r="F290" i="2230" s="1"/>
  <c r="G291" i="2230"/>
  <c r="F291" i="2230" s="1"/>
  <c r="G292" i="2230"/>
  <c r="F292" i="2230" s="1"/>
  <c r="G293" i="2230"/>
  <c r="F293" i="2230" s="1"/>
  <c r="G294" i="2230"/>
  <c r="F294" i="2230" s="1"/>
  <c r="G295" i="2230"/>
  <c r="F295" i="2230" s="1"/>
  <c r="G296" i="2230"/>
  <c r="F296" i="2230" s="1"/>
  <c r="G297" i="2230"/>
  <c r="F297" i="2230" s="1"/>
  <c r="G298" i="2230"/>
  <c r="F298" i="2230" s="1"/>
  <c r="G299" i="2230"/>
  <c r="F299" i="2230" s="1"/>
  <c r="G300" i="2230"/>
  <c r="F300" i="2230" s="1"/>
  <c r="G301" i="2230"/>
  <c r="F301" i="2230" s="1"/>
  <c r="G302" i="2230"/>
  <c r="F302" i="2230" s="1"/>
  <c r="G303" i="2230"/>
  <c r="F303" i="2230" s="1"/>
  <c r="G304" i="2230"/>
  <c r="F304" i="2230" s="1"/>
  <c r="G305" i="2230"/>
  <c r="F305" i="2230" s="1"/>
  <c r="G306" i="2230"/>
  <c r="F306" i="2230" s="1"/>
  <c r="G307" i="2230"/>
  <c r="F307" i="2230" s="1"/>
  <c r="G308" i="2230"/>
  <c r="F308" i="2230" s="1"/>
  <c r="G309" i="2230"/>
  <c r="F309" i="2230" s="1"/>
  <c r="G310" i="2230"/>
  <c r="F310" i="2230" s="1"/>
  <c r="G311" i="2230"/>
  <c r="F311" i="2230" s="1"/>
  <c r="G312" i="2230"/>
  <c r="F312" i="2230" s="1"/>
  <c r="G313" i="2230"/>
  <c r="F313" i="2230" s="1"/>
  <c r="G314" i="2230"/>
  <c r="F314" i="2230" s="1"/>
  <c r="G315" i="2230"/>
  <c r="F315" i="2230" s="1"/>
  <c r="G316" i="2230"/>
  <c r="F316" i="2230" s="1"/>
  <c r="G317" i="2230"/>
  <c r="F317" i="2230" s="1"/>
  <c r="G318" i="2230"/>
  <c r="F318" i="2230" s="1"/>
  <c r="G319" i="2230"/>
  <c r="F319" i="2230" s="1"/>
  <c r="G320" i="2230"/>
  <c r="F320" i="2230" s="1"/>
  <c r="G321" i="2230"/>
  <c r="F321" i="2230" s="1"/>
  <c r="G322" i="2230"/>
  <c r="F322" i="2230" s="1"/>
  <c r="G323" i="2230"/>
  <c r="F323" i="2230" s="1"/>
  <c r="G324" i="2230"/>
  <c r="F324" i="2230" s="1"/>
  <c r="G325" i="2230"/>
  <c r="F325" i="2230" s="1"/>
  <c r="G326" i="2230"/>
  <c r="F326" i="2230" s="1"/>
  <c r="G327" i="2230"/>
  <c r="F327" i="2230" s="1"/>
  <c r="G328" i="2230"/>
  <c r="F328" i="2230" s="1"/>
  <c r="G329" i="2230"/>
  <c r="F329" i="2230" s="1"/>
  <c r="G330" i="2230"/>
  <c r="F330" i="2230" s="1"/>
  <c r="G331" i="2230"/>
  <c r="F331" i="2230" s="1"/>
  <c r="G332" i="2230"/>
  <c r="F332" i="2230" s="1"/>
  <c r="G333" i="2230"/>
  <c r="F333" i="2230" s="1"/>
  <c r="G334" i="2230"/>
  <c r="F334" i="2230" s="1"/>
  <c r="G335" i="2230"/>
  <c r="F335" i="2230" s="1"/>
  <c r="G336" i="2230"/>
  <c r="F336" i="2230" s="1"/>
  <c r="G337" i="2230"/>
  <c r="F337" i="2230" s="1"/>
  <c r="G338" i="2230"/>
  <c r="F338" i="2230" s="1"/>
  <c r="G339" i="2230"/>
  <c r="F339" i="2230" s="1"/>
  <c r="G340" i="2230"/>
  <c r="F340" i="2230" s="1"/>
  <c r="G341" i="2230"/>
  <c r="F341" i="2230" s="1"/>
  <c r="G342" i="2230"/>
  <c r="F342" i="2230" s="1"/>
  <c r="G343" i="2230"/>
  <c r="F343" i="2230" s="1"/>
  <c r="G344" i="2230"/>
  <c r="F344" i="2230" s="1"/>
  <c r="G345" i="2230"/>
  <c r="F345" i="2230" s="1"/>
  <c r="G346" i="2230"/>
  <c r="F346" i="2230" s="1"/>
  <c r="G347" i="2230"/>
  <c r="F347" i="2230" s="1"/>
  <c r="G348" i="2230"/>
  <c r="F348" i="2230" s="1"/>
  <c r="G349" i="2230"/>
  <c r="F349" i="2230" s="1"/>
  <c r="G350" i="2230"/>
  <c r="F350" i="2230" s="1"/>
  <c r="G351" i="2230"/>
  <c r="F351" i="2230" s="1"/>
  <c r="G352" i="2230"/>
  <c r="F352" i="2230" s="1"/>
  <c r="G353" i="2230"/>
  <c r="F353" i="2230" s="1"/>
  <c r="G354" i="2230"/>
  <c r="F354" i="2230" s="1"/>
  <c r="G355" i="2230"/>
  <c r="F355" i="2230" s="1"/>
  <c r="G356" i="2230"/>
  <c r="F356" i="2230" s="1"/>
  <c r="G357" i="2230"/>
  <c r="F357" i="2230" s="1"/>
  <c r="G358" i="2230"/>
  <c r="F358" i="2230" s="1"/>
  <c r="G359" i="2230"/>
  <c r="F359" i="2230" s="1"/>
  <c r="G360" i="2230"/>
  <c r="F360" i="2230" s="1"/>
  <c r="G361" i="2230"/>
  <c r="F361" i="2230" s="1"/>
  <c r="G362" i="2230"/>
  <c r="F362" i="2230" s="1"/>
  <c r="G363" i="2230"/>
  <c r="F363" i="2230" s="1"/>
  <c r="G364" i="2230"/>
  <c r="F364" i="2230" s="1"/>
  <c r="G365" i="2230"/>
  <c r="F365" i="2230" s="1"/>
  <c r="G366" i="2230"/>
  <c r="F366" i="2230" s="1"/>
  <c r="G367" i="2230"/>
  <c r="F367" i="2230" s="1"/>
  <c r="G368" i="2230"/>
  <c r="F368" i="2230" s="1"/>
  <c r="G369" i="2230"/>
  <c r="F369" i="2230" s="1"/>
  <c r="G370" i="2230"/>
  <c r="F370" i="2230" s="1"/>
  <c r="G371" i="2230"/>
  <c r="F371" i="2230" s="1"/>
  <c r="G372" i="2230"/>
  <c r="F372" i="2230" s="1"/>
  <c r="G373" i="2230"/>
  <c r="F373" i="2230" s="1"/>
  <c r="G374" i="2230"/>
  <c r="F374" i="2230" s="1"/>
  <c r="G375" i="2230"/>
  <c r="F375" i="2230" s="1"/>
  <c r="G376" i="2230"/>
  <c r="F376" i="2230" s="1"/>
  <c r="G377" i="2230"/>
  <c r="F377" i="2230" s="1"/>
  <c r="G378" i="2230"/>
  <c r="F378" i="2230" s="1"/>
  <c r="G379" i="2230"/>
  <c r="F379" i="2230" s="1"/>
  <c r="G380" i="2230"/>
  <c r="F380" i="2230" s="1"/>
  <c r="G381" i="2230"/>
  <c r="F381" i="2230" s="1"/>
  <c r="G382" i="2230"/>
  <c r="F382" i="2230" s="1"/>
  <c r="G383" i="2230"/>
  <c r="F383" i="2230" s="1"/>
  <c r="G384" i="2230"/>
  <c r="F384" i="2230" s="1"/>
  <c r="G385" i="2230"/>
  <c r="F385" i="2230" s="1"/>
  <c r="G386" i="2230"/>
  <c r="F386" i="2230" s="1"/>
  <c r="G387" i="2230"/>
  <c r="F387" i="2230" s="1"/>
  <c r="G388" i="2230"/>
  <c r="F388" i="2230" s="1"/>
  <c r="G389" i="2230"/>
  <c r="F389" i="2230" s="1"/>
  <c r="G390" i="2230"/>
  <c r="F390" i="2230" s="1"/>
  <c r="G391" i="2230"/>
  <c r="F391" i="2230" s="1"/>
  <c r="G392" i="2230"/>
  <c r="F392" i="2230" s="1"/>
  <c r="G393" i="2230"/>
  <c r="F393" i="2230" s="1"/>
  <c r="G394" i="2230"/>
  <c r="F394" i="2230" s="1"/>
  <c r="G395" i="2230"/>
  <c r="F395" i="2230" s="1"/>
  <c r="G396" i="2230"/>
  <c r="F396" i="2230" s="1"/>
  <c r="G397" i="2230"/>
  <c r="F397" i="2230" s="1"/>
  <c r="G398" i="2230"/>
  <c r="F398" i="2230" s="1"/>
  <c r="G399" i="2230"/>
  <c r="F399" i="2230" s="1"/>
  <c r="G400" i="2230"/>
  <c r="F400" i="2230" s="1"/>
  <c r="G401" i="2230"/>
  <c r="F401" i="2230" s="1"/>
  <c r="G402" i="2230"/>
  <c r="F402" i="2230" s="1"/>
  <c r="G403" i="2230"/>
  <c r="F403" i="2230" s="1"/>
  <c r="G404" i="2230"/>
  <c r="F404" i="2230" s="1"/>
  <c r="G405" i="2230"/>
  <c r="F405" i="2230" s="1"/>
  <c r="G406" i="2230"/>
  <c r="F406" i="2230" s="1"/>
  <c r="G407" i="2230"/>
  <c r="F407" i="2230" s="1"/>
  <c r="G408" i="2230"/>
  <c r="F408" i="2230" s="1"/>
  <c r="G409" i="2230"/>
  <c r="F409" i="2230" s="1"/>
  <c r="G410" i="2230"/>
  <c r="F410" i="2230" s="1"/>
  <c r="G411" i="2230"/>
  <c r="F411" i="2230" s="1"/>
  <c r="G412" i="2230"/>
  <c r="F412" i="2230" s="1"/>
  <c r="G413" i="2230"/>
  <c r="F413" i="2230" s="1"/>
  <c r="G414" i="2230"/>
  <c r="F414" i="2230" s="1"/>
  <c r="G415" i="2230"/>
  <c r="F415" i="2230" s="1"/>
  <c r="G416" i="2230"/>
  <c r="F416" i="2230" s="1"/>
  <c r="G417" i="2230"/>
  <c r="F417" i="2230" s="1"/>
  <c r="G418" i="2230"/>
  <c r="F418" i="2230" s="1"/>
  <c r="G419" i="2230"/>
  <c r="F419" i="2230" s="1"/>
  <c r="G420" i="2230"/>
  <c r="F420" i="2230" s="1"/>
  <c r="G421" i="2230"/>
  <c r="F421" i="2230" s="1"/>
  <c r="G422" i="2230"/>
  <c r="F422" i="2230" s="1"/>
  <c r="G423" i="2230"/>
  <c r="F423" i="2230" s="1"/>
  <c r="G424" i="2230"/>
  <c r="F424" i="2230" s="1"/>
  <c r="G425" i="2230"/>
  <c r="F425" i="2230" s="1"/>
  <c r="G426" i="2230"/>
  <c r="F426" i="2230" s="1"/>
  <c r="G427" i="2230"/>
  <c r="F427" i="2230" s="1"/>
  <c r="G428" i="2230"/>
  <c r="F428" i="2230" s="1"/>
  <c r="G429" i="2230"/>
  <c r="F429" i="2230" s="1"/>
  <c r="G430" i="2230"/>
  <c r="F430" i="2230" s="1"/>
  <c r="G431" i="2230"/>
  <c r="F431" i="2230" s="1"/>
  <c r="G432" i="2230"/>
  <c r="F432" i="2230" s="1"/>
  <c r="G433" i="2230"/>
  <c r="F433" i="2230" s="1"/>
  <c r="G434" i="2230"/>
  <c r="F434" i="2230" s="1"/>
  <c r="G435" i="2230"/>
  <c r="F435" i="2230" s="1"/>
  <c r="G436" i="2230"/>
  <c r="F436" i="2230" s="1"/>
  <c r="G437" i="2230"/>
  <c r="F437" i="2230" s="1"/>
  <c r="G438" i="2230"/>
  <c r="F438" i="2230" s="1"/>
  <c r="G439" i="2230"/>
  <c r="F439" i="2230" s="1"/>
  <c r="G440" i="2230"/>
  <c r="F440" i="2230" s="1"/>
  <c r="G441" i="2230"/>
  <c r="F441" i="2230" s="1"/>
  <c r="G442" i="2230"/>
  <c r="F442" i="2230" s="1"/>
  <c r="G443" i="2230"/>
  <c r="F443" i="2230" s="1"/>
  <c r="G444" i="2230"/>
  <c r="F444" i="2230" s="1"/>
  <c r="G445" i="2230"/>
  <c r="F445" i="2230" s="1"/>
  <c r="G446" i="2230"/>
  <c r="F446" i="2230" s="1"/>
  <c r="G447" i="2230"/>
  <c r="F447" i="2230" s="1"/>
  <c r="G448" i="2230"/>
  <c r="F448" i="2230" s="1"/>
  <c r="G449" i="2230"/>
  <c r="F449" i="2230" s="1"/>
  <c r="G450" i="2230"/>
  <c r="F450" i="2230" s="1"/>
  <c r="G451" i="2230"/>
  <c r="F451" i="2230" s="1"/>
  <c r="G452" i="2230"/>
  <c r="F452" i="2230" s="1"/>
  <c r="G453" i="2230"/>
  <c r="F453" i="2230" s="1"/>
  <c r="G454" i="2230"/>
  <c r="F454" i="2230" s="1"/>
  <c r="G455" i="2230"/>
  <c r="F455" i="2230" s="1"/>
  <c r="G456" i="2230"/>
  <c r="F456" i="2230" s="1"/>
  <c r="G457" i="2230"/>
  <c r="F457" i="2230" s="1"/>
  <c r="G458" i="2230"/>
  <c r="F458" i="2230" s="1"/>
  <c r="G459" i="2230"/>
  <c r="F459" i="2230" s="1"/>
  <c r="G460" i="2230"/>
  <c r="F460" i="2230" s="1"/>
  <c r="G461" i="2230"/>
  <c r="F461" i="2230" s="1"/>
  <c r="G462" i="2230"/>
  <c r="F462" i="2230" s="1"/>
  <c r="G463" i="2230"/>
  <c r="F463" i="2230" s="1"/>
  <c r="G464" i="2230"/>
  <c r="F464" i="2230" s="1"/>
  <c r="G465" i="2230"/>
  <c r="F465" i="2230" s="1"/>
  <c r="G466" i="2230"/>
  <c r="F466" i="2230" s="1"/>
  <c r="G467" i="2230"/>
  <c r="F467" i="2230" s="1"/>
  <c r="G468" i="2230"/>
  <c r="F468" i="2230" s="1"/>
  <c r="G469" i="2230"/>
  <c r="F469" i="2230" s="1"/>
  <c r="G470" i="2230"/>
  <c r="F470" i="2230" s="1"/>
  <c r="G471" i="2230"/>
  <c r="F471" i="2230" s="1"/>
  <c r="G472" i="2230"/>
  <c r="F472" i="2230" s="1"/>
  <c r="G473" i="2230"/>
  <c r="F473" i="2230" s="1"/>
  <c r="G474" i="2230"/>
  <c r="F474" i="2230" s="1"/>
  <c r="G475" i="2230"/>
  <c r="F475" i="2230" s="1"/>
  <c r="G476" i="2230"/>
  <c r="F476" i="2230" s="1"/>
  <c r="G477" i="2230"/>
  <c r="F477" i="2230" s="1"/>
  <c r="G478" i="2230"/>
  <c r="F478" i="2230" s="1"/>
  <c r="G479" i="2230"/>
  <c r="F479" i="2230" s="1"/>
  <c r="G480" i="2230"/>
  <c r="F480" i="2230" s="1"/>
  <c r="G481" i="2230"/>
  <c r="F481" i="2230" s="1"/>
  <c r="G482" i="2230"/>
  <c r="F482" i="2230" s="1"/>
  <c r="G483" i="2230"/>
  <c r="F483" i="2230" s="1"/>
  <c r="G484" i="2230"/>
  <c r="F484" i="2230" s="1"/>
  <c r="G485" i="2230"/>
  <c r="F485" i="2230" s="1"/>
  <c r="G486" i="2230"/>
  <c r="F486" i="2230" s="1"/>
  <c r="G487" i="2230"/>
  <c r="F487" i="2230" s="1"/>
  <c r="G488" i="2230"/>
  <c r="F488" i="2230" s="1"/>
  <c r="G489" i="2230"/>
  <c r="F489" i="2230" s="1"/>
  <c r="G490" i="2230"/>
  <c r="F490" i="2230" s="1"/>
  <c r="G491" i="2230"/>
  <c r="F491" i="2230" s="1"/>
  <c r="G492" i="2230"/>
  <c r="F492" i="2230" s="1"/>
  <c r="G493" i="2230"/>
  <c r="F493" i="2230" s="1"/>
  <c r="G494" i="2230"/>
  <c r="F494" i="2230" s="1"/>
  <c r="G495" i="2230"/>
  <c r="F495" i="2230" s="1"/>
  <c r="G496" i="2230"/>
  <c r="F496" i="2230" s="1"/>
  <c r="G497" i="2230"/>
  <c r="F497" i="2230" s="1"/>
  <c r="G498" i="2230"/>
  <c r="F498" i="2230" s="1"/>
  <c r="G499" i="2230"/>
  <c r="F499" i="2230" s="1"/>
  <c r="G500" i="2230"/>
  <c r="F500" i="2230" s="1"/>
  <c r="G501" i="2230"/>
  <c r="F501" i="2230" s="1"/>
  <c r="G502" i="2230"/>
  <c r="F502" i="2230" s="1"/>
  <c r="G503" i="2230"/>
  <c r="F503" i="2230" s="1"/>
  <c r="G504" i="2230"/>
  <c r="F504" i="2230" s="1"/>
  <c r="G505" i="2230"/>
  <c r="F505" i="2230" s="1"/>
  <c r="G506" i="2230"/>
  <c r="F506" i="2230" s="1"/>
  <c r="G507" i="2230"/>
  <c r="F507" i="2230" s="1"/>
  <c r="G508" i="2230"/>
  <c r="F508" i="2230" s="1"/>
  <c r="G509" i="2230"/>
  <c r="F509" i="2230" s="1"/>
  <c r="G510" i="2230"/>
  <c r="F510" i="2230" s="1"/>
  <c r="G511" i="2230"/>
  <c r="F511" i="2230" s="1"/>
  <c r="G512" i="2230"/>
  <c r="F512" i="2230" s="1"/>
  <c r="G513" i="2230"/>
  <c r="F513" i="2230" s="1"/>
  <c r="G514" i="2230"/>
  <c r="F514" i="2230" s="1"/>
  <c r="G515" i="2230"/>
  <c r="F515" i="2230" s="1"/>
  <c r="G516" i="2230"/>
  <c r="F516" i="2230" s="1"/>
  <c r="G517" i="2230"/>
  <c r="F517" i="2230" s="1"/>
  <c r="G518" i="2230"/>
  <c r="F518" i="2230" s="1"/>
  <c r="G519" i="2230"/>
  <c r="F519" i="2230" s="1"/>
  <c r="G520" i="2230"/>
  <c r="F520" i="2230" s="1"/>
  <c r="G521" i="2230"/>
  <c r="F521" i="2230" s="1"/>
  <c r="G522" i="2230"/>
  <c r="F522" i="2230" s="1"/>
  <c r="G523" i="2230"/>
  <c r="F523" i="2230" s="1"/>
  <c r="G524" i="2230"/>
  <c r="F524" i="2230" s="1"/>
  <c r="G525" i="2230"/>
  <c r="F525" i="2230" s="1"/>
  <c r="G526" i="2230"/>
  <c r="F526" i="2230" s="1"/>
  <c r="G527" i="2230"/>
  <c r="F527" i="2230" s="1"/>
  <c r="G528" i="2230"/>
  <c r="F528" i="2230" s="1"/>
  <c r="G529" i="2230"/>
  <c r="F529" i="2230" s="1"/>
  <c r="G530" i="2230"/>
  <c r="F530" i="2230" s="1"/>
  <c r="G531" i="2230"/>
  <c r="F531" i="2230" s="1"/>
  <c r="G532" i="2230"/>
  <c r="F532" i="2230" s="1"/>
  <c r="G533" i="2230"/>
  <c r="F533" i="2230" s="1"/>
  <c r="G534" i="2230"/>
  <c r="F534" i="2230" s="1"/>
  <c r="G535" i="2230"/>
  <c r="F535" i="2230" s="1"/>
  <c r="G536" i="2230"/>
  <c r="F536" i="2230" s="1"/>
  <c r="G537" i="2230"/>
  <c r="F537" i="2230" s="1"/>
  <c r="G538" i="2230"/>
  <c r="F538" i="2230" s="1"/>
  <c r="G539" i="2230"/>
  <c r="F539" i="2230" s="1"/>
  <c r="G540" i="2230"/>
  <c r="F540" i="2230" s="1"/>
  <c r="G541" i="2230"/>
  <c r="F541" i="2230" s="1"/>
  <c r="G542" i="2230"/>
  <c r="F542" i="2230" s="1"/>
  <c r="G543" i="2230"/>
  <c r="F543" i="2230" s="1"/>
  <c r="G544" i="2230"/>
  <c r="F544" i="2230" s="1"/>
  <c r="G545" i="2230"/>
  <c r="F545" i="2230" s="1"/>
  <c r="G546" i="2230"/>
  <c r="F546" i="2230" s="1"/>
  <c r="G547" i="2230"/>
  <c r="F547" i="2230" s="1"/>
  <c r="G548" i="2230"/>
  <c r="F548" i="2230" s="1"/>
  <c r="G549" i="2230"/>
  <c r="F549" i="2230" s="1"/>
  <c r="G550" i="2230"/>
  <c r="F550" i="2230" s="1"/>
  <c r="G551" i="2230"/>
  <c r="F551" i="2230" s="1"/>
  <c r="G552" i="2230"/>
  <c r="F552" i="2230" s="1"/>
  <c r="G553" i="2230"/>
  <c r="F553" i="2230" s="1"/>
  <c r="G554" i="2230"/>
  <c r="F554" i="2230" s="1"/>
  <c r="G555" i="2230"/>
  <c r="F555" i="2230" s="1"/>
  <c r="G556" i="2230"/>
  <c r="F556" i="2230" s="1"/>
  <c r="G557" i="2230"/>
  <c r="F557" i="2230" s="1"/>
  <c r="G558" i="2230"/>
  <c r="F558" i="2230" s="1"/>
  <c r="G559" i="2230"/>
  <c r="F559" i="2230" s="1"/>
  <c r="G560" i="2230"/>
  <c r="F560" i="2230" s="1"/>
  <c r="G561" i="2230"/>
  <c r="F561" i="2230" s="1"/>
  <c r="G562" i="2230"/>
  <c r="F562" i="2230" s="1"/>
  <c r="G563" i="2230"/>
  <c r="F563" i="2230" s="1"/>
  <c r="G564" i="2230"/>
  <c r="F564" i="2230" s="1"/>
  <c r="G565" i="2230"/>
  <c r="F565" i="2230" s="1"/>
  <c r="G566" i="2230"/>
  <c r="F566" i="2230" s="1"/>
  <c r="G567" i="2230"/>
  <c r="F567" i="2230" s="1"/>
  <c r="G568" i="2230"/>
  <c r="F568" i="2230" s="1"/>
  <c r="G569" i="2230"/>
  <c r="F569" i="2230" s="1"/>
  <c r="G570" i="2230"/>
  <c r="F570" i="2230" s="1"/>
  <c r="G571" i="2230"/>
  <c r="F571" i="2230" s="1"/>
  <c r="G572" i="2230"/>
  <c r="F572" i="2230" s="1"/>
  <c r="G573" i="2230"/>
  <c r="F573" i="2230" s="1"/>
  <c r="G574" i="2230"/>
  <c r="F574" i="2230" s="1"/>
  <c r="G575" i="2230"/>
  <c r="F575" i="2230" s="1"/>
  <c r="G576" i="2230"/>
  <c r="F576" i="2230" s="1"/>
  <c r="G577" i="2230"/>
  <c r="F577" i="2230" s="1"/>
  <c r="G578" i="2230"/>
  <c r="F578" i="2230" s="1"/>
  <c r="G579" i="2230"/>
  <c r="F579" i="2230" s="1"/>
  <c r="G580" i="2230"/>
  <c r="F580" i="2230" s="1"/>
  <c r="G581" i="2230"/>
  <c r="F581" i="2230" s="1"/>
  <c r="G582" i="2230"/>
  <c r="F582" i="2230" s="1"/>
  <c r="G583" i="2230"/>
  <c r="F583" i="2230" s="1"/>
  <c r="G584" i="2230"/>
  <c r="F584" i="2230" s="1"/>
  <c r="G585" i="2230"/>
  <c r="F585" i="2230" s="1"/>
  <c r="G586" i="2230"/>
  <c r="F586" i="2230" s="1"/>
  <c r="G587" i="2230"/>
  <c r="F587" i="2230" s="1"/>
  <c r="G588" i="2230"/>
  <c r="F588" i="2230" s="1"/>
  <c r="G589" i="2230"/>
  <c r="F589" i="2230" s="1"/>
  <c r="G590" i="2230"/>
  <c r="F590" i="2230" s="1"/>
  <c r="G591" i="2230"/>
  <c r="F591" i="2230" s="1"/>
  <c r="G592" i="2230"/>
  <c r="F592" i="2230" s="1"/>
  <c r="G593" i="2230"/>
  <c r="F593" i="2230" s="1"/>
  <c r="G594" i="2230"/>
  <c r="F594" i="2230" s="1"/>
  <c r="G595" i="2230"/>
  <c r="F595" i="2230" s="1"/>
  <c r="G596" i="2230"/>
  <c r="F596" i="2230" s="1"/>
  <c r="G597" i="2230"/>
  <c r="F597" i="2230" s="1"/>
  <c r="G598" i="2230"/>
  <c r="F598" i="2230" s="1"/>
  <c r="G599" i="2230"/>
  <c r="F599" i="2230" s="1"/>
  <c r="G600" i="2230"/>
  <c r="F600" i="2230" s="1"/>
  <c r="G601" i="2230"/>
  <c r="F601" i="2230" s="1"/>
  <c r="G602" i="2230"/>
  <c r="F602" i="2230" s="1"/>
  <c r="G603" i="2230"/>
  <c r="F603" i="2230" s="1"/>
  <c r="G604" i="2230"/>
  <c r="F604" i="2230" s="1"/>
  <c r="G605" i="2230"/>
  <c r="F605" i="2230" s="1"/>
  <c r="G606" i="2230"/>
  <c r="F606" i="2230" s="1"/>
  <c r="G607" i="2230"/>
  <c r="F607" i="2230" s="1"/>
  <c r="G608" i="2230"/>
  <c r="F608" i="2230" s="1"/>
  <c r="G609" i="2230"/>
  <c r="F609" i="2230" s="1"/>
  <c r="G610" i="2230"/>
  <c r="F610" i="2230" s="1"/>
  <c r="G611" i="2230"/>
  <c r="F611" i="2230" s="1"/>
  <c r="G612" i="2230"/>
  <c r="F612" i="2230" s="1"/>
  <c r="G613" i="2230"/>
  <c r="F613" i="2230" s="1"/>
  <c r="G614" i="2230"/>
  <c r="D69" i="2229"/>
  <c r="E69" i="2229"/>
  <c r="K69" i="2229"/>
  <c r="N69" i="2229"/>
  <c r="G3" i="2229"/>
  <c r="A6" i="2230"/>
  <c r="Z3" i="2230"/>
  <c r="G4" i="2229"/>
  <c r="F614" i="2230" l="1"/>
  <c r="G615" i="2230"/>
  <c r="F22" i="2231"/>
  <c r="Q22" i="2231"/>
  <c r="G6" i="2229"/>
  <c r="F6" i="2229" s="1"/>
  <c r="G7" i="2229"/>
  <c r="F7" i="2229" s="1"/>
  <c r="G8" i="2229"/>
  <c r="F8" i="2229" s="1"/>
  <c r="G9" i="2229"/>
  <c r="F9" i="2229" s="1"/>
  <c r="G10" i="2229"/>
  <c r="F10" i="2229" s="1"/>
  <c r="G11" i="2229"/>
  <c r="F11" i="2229" s="1"/>
  <c r="G12" i="2229"/>
  <c r="F12" i="2229" s="1"/>
  <c r="G13" i="2229"/>
  <c r="F13" i="2229" s="1"/>
  <c r="G14" i="2229"/>
  <c r="F14" i="2229" s="1"/>
  <c r="G15" i="2229"/>
  <c r="F15" i="2229" s="1"/>
  <c r="G16" i="2229"/>
  <c r="F16" i="2229" s="1"/>
  <c r="G17" i="2229"/>
  <c r="F17" i="2229" s="1"/>
  <c r="G18" i="2229"/>
  <c r="F18" i="2229" s="1"/>
  <c r="G19" i="2229"/>
  <c r="F19" i="2229" s="1"/>
  <c r="G20" i="2229"/>
  <c r="F20" i="2229" s="1"/>
  <c r="G21" i="2229"/>
  <c r="F21" i="2229" s="1"/>
  <c r="G22" i="2229"/>
  <c r="F22" i="2229" s="1"/>
  <c r="G23" i="2229"/>
  <c r="F23" i="2229" s="1"/>
  <c r="G24" i="2229"/>
  <c r="F24" i="2229" s="1"/>
  <c r="G25" i="2229"/>
  <c r="F25" i="2229" s="1"/>
  <c r="G26" i="2229"/>
  <c r="F26" i="2229" s="1"/>
  <c r="G27" i="2229"/>
  <c r="F27" i="2229" s="1"/>
  <c r="G28" i="2229"/>
  <c r="F28" i="2229" s="1"/>
  <c r="G29" i="2229"/>
  <c r="F29" i="2229" s="1"/>
  <c r="G30" i="2229"/>
  <c r="F30" i="2229" s="1"/>
  <c r="G31" i="2229"/>
  <c r="F31" i="2229" s="1"/>
  <c r="G32" i="2229"/>
  <c r="F32" i="2229" s="1"/>
  <c r="G33" i="2229"/>
  <c r="F33" i="2229" s="1"/>
  <c r="G34" i="2229"/>
  <c r="F34" i="2229" s="1"/>
  <c r="G35" i="2229"/>
  <c r="F35" i="2229" s="1"/>
  <c r="G36" i="2229"/>
  <c r="F36" i="2229" s="1"/>
  <c r="G37" i="2229"/>
  <c r="F37" i="2229" s="1"/>
  <c r="G38" i="2229"/>
  <c r="F38" i="2229" s="1"/>
  <c r="G39" i="2229"/>
  <c r="F39" i="2229" s="1"/>
  <c r="G40" i="2229"/>
  <c r="F40" i="2229" s="1"/>
  <c r="G41" i="2229"/>
  <c r="F41" i="2229" s="1"/>
  <c r="G42" i="2229"/>
  <c r="F42" i="2229" s="1"/>
  <c r="G43" i="2229"/>
  <c r="F43" i="2229" s="1"/>
  <c r="G44" i="2229"/>
  <c r="F44" i="2229" s="1"/>
  <c r="G45" i="2229"/>
  <c r="F45" i="2229" s="1"/>
  <c r="G46" i="2229"/>
  <c r="F46" i="2229" s="1"/>
  <c r="G47" i="2229"/>
  <c r="F47" i="2229" s="1"/>
  <c r="G48" i="2229"/>
  <c r="F48" i="2229" s="1"/>
  <c r="G49" i="2229"/>
  <c r="F49" i="2229" s="1"/>
  <c r="G50" i="2229"/>
  <c r="F50" i="2229" s="1"/>
  <c r="G51" i="2229"/>
  <c r="F51" i="2229" s="1"/>
  <c r="G52" i="2229"/>
  <c r="F52" i="2229" s="1"/>
  <c r="G53" i="2229"/>
  <c r="F53" i="2229" s="1"/>
  <c r="G54" i="2229"/>
  <c r="F54" i="2229" s="1"/>
  <c r="G55" i="2229"/>
  <c r="F55" i="2229" s="1"/>
  <c r="G56" i="2229"/>
  <c r="F56" i="2229" s="1"/>
  <c r="G57" i="2229"/>
  <c r="F57" i="2229" s="1"/>
  <c r="G58" i="2229"/>
  <c r="F58" i="2229" s="1"/>
  <c r="G59" i="2229"/>
  <c r="F59" i="2229" s="1"/>
  <c r="G60" i="2229"/>
  <c r="F60" i="2229" s="1"/>
  <c r="G61" i="2229"/>
  <c r="F61" i="2229" s="1"/>
  <c r="G62" i="2229"/>
  <c r="F62" i="2229" s="1"/>
  <c r="G63" i="2229"/>
  <c r="F63" i="2229" s="1"/>
  <c r="G64" i="2229"/>
  <c r="F64" i="2229" s="1"/>
  <c r="G65" i="2229"/>
  <c r="F65" i="2229" s="1"/>
  <c r="G66" i="2229"/>
  <c r="F66" i="2229" s="1"/>
  <c r="G67" i="2229"/>
  <c r="F67" i="2229" s="1"/>
  <c r="G68" i="2229"/>
  <c r="D195" i="2228"/>
  <c r="E195" i="2228"/>
  <c r="K195" i="2228"/>
  <c r="N195" i="2228"/>
  <c r="G3" i="2228"/>
  <c r="A6" i="2229"/>
  <c r="Z3" i="2229"/>
  <c r="G4" i="2228"/>
  <c r="Q615" i="2230" l="1"/>
  <c r="F615" i="2230"/>
  <c r="F68" i="2229"/>
  <c r="G69" i="2229"/>
  <c r="G6" i="2228"/>
  <c r="F6" i="2228" s="1"/>
  <c r="G7" i="2228"/>
  <c r="F7" i="2228" s="1"/>
  <c r="G8" i="2228"/>
  <c r="F8" i="2228" s="1"/>
  <c r="G9" i="2228"/>
  <c r="F9" i="2228" s="1"/>
  <c r="G10" i="2228"/>
  <c r="F10" i="2228" s="1"/>
  <c r="G11" i="2228"/>
  <c r="F11" i="2228" s="1"/>
  <c r="G12" i="2228"/>
  <c r="F12" i="2228" s="1"/>
  <c r="G13" i="2228"/>
  <c r="F13" i="2228" s="1"/>
  <c r="G14" i="2228"/>
  <c r="F14" i="2228" s="1"/>
  <c r="G15" i="2228"/>
  <c r="F15" i="2228" s="1"/>
  <c r="G16" i="2228"/>
  <c r="F16" i="2228" s="1"/>
  <c r="G17" i="2228"/>
  <c r="F17" i="2228" s="1"/>
  <c r="G18" i="2228"/>
  <c r="F18" i="2228" s="1"/>
  <c r="G19" i="2228"/>
  <c r="F19" i="2228" s="1"/>
  <c r="G20" i="2228"/>
  <c r="F20" i="2228" s="1"/>
  <c r="G21" i="2228"/>
  <c r="F21" i="2228" s="1"/>
  <c r="G22" i="2228"/>
  <c r="F22" i="2228" s="1"/>
  <c r="G23" i="2228"/>
  <c r="F23" i="2228" s="1"/>
  <c r="G24" i="2228"/>
  <c r="F24" i="2228" s="1"/>
  <c r="G25" i="2228"/>
  <c r="F25" i="2228" s="1"/>
  <c r="G26" i="2228"/>
  <c r="F26" i="2228" s="1"/>
  <c r="G27" i="2228"/>
  <c r="F27" i="2228" s="1"/>
  <c r="G28" i="2228"/>
  <c r="F28" i="2228" s="1"/>
  <c r="G29" i="2228"/>
  <c r="F29" i="2228" s="1"/>
  <c r="G30" i="2228"/>
  <c r="F30" i="2228" s="1"/>
  <c r="G31" i="2228"/>
  <c r="F31" i="2228" s="1"/>
  <c r="G32" i="2228"/>
  <c r="F32" i="2228" s="1"/>
  <c r="G33" i="2228"/>
  <c r="F33" i="2228" s="1"/>
  <c r="G34" i="2228"/>
  <c r="F34" i="2228" s="1"/>
  <c r="G35" i="2228"/>
  <c r="F35" i="2228" s="1"/>
  <c r="G36" i="2228"/>
  <c r="F36" i="2228" s="1"/>
  <c r="G37" i="2228"/>
  <c r="F37" i="2228" s="1"/>
  <c r="G38" i="2228"/>
  <c r="F38" i="2228" s="1"/>
  <c r="G39" i="2228"/>
  <c r="F39" i="2228" s="1"/>
  <c r="G40" i="2228"/>
  <c r="F40" i="2228" s="1"/>
  <c r="G41" i="2228"/>
  <c r="F41" i="2228" s="1"/>
  <c r="G42" i="2228"/>
  <c r="F42" i="2228" s="1"/>
  <c r="G43" i="2228"/>
  <c r="F43" i="2228" s="1"/>
  <c r="G44" i="2228"/>
  <c r="F44" i="2228" s="1"/>
  <c r="G45" i="2228"/>
  <c r="F45" i="2228" s="1"/>
  <c r="G46" i="2228"/>
  <c r="F46" i="2228" s="1"/>
  <c r="G47" i="2228"/>
  <c r="F47" i="2228" s="1"/>
  <c r="G48" i="2228"/>
  <c r="F48" i="2228" s="1"/>
  <c r="G49" i="2228"/>
  <c r="F49" i="2228" s="1"/>
  <c r="G50" i="2228"/>
  <c r="F50" i="2228" s="1"/>
  <c r="G51" i="2228"/>
  <c r="F51" i="2228" s="1"/>
  <c r="G52" i="2228"/>
  <c r="F52" i="2228" s="1"/>
  <c r="G53" i="2228"/>
  <c r="F53" i="2228" s="1"/>
  <c r="G54" i="2228"/>
  <c r="F54" i="2228" s="1"/>
  <c r="G55" i="2228"/>
  <c r="F55" i="2228" s="1"/>
  <c r="G56" i="2228"/>
  <c r="F56" i="2228" s="1"/>
  <c r="G57" i="2228"/>
  <c r="F57" i="2228" s="1"/>
  <c r="G58" i="2228"/>
  <c r="F58" i="2228" s="1"/>
  <c r="G59" i="2228"/>
  <c r="F59" i="2228" s="1"/>
  <c r="G60" i="2228"/>
  <c r="F60" i="2228" s="1"/>
  <c r="G61" i="2228"/>
  <c r="F61" i="2228" s="1"/>
  <c r="G62" i="2228"/>
  <c r="F62" i="2228" s="1"/>
  <c r="G63" i="2228"/>
  <c r="F63" i="2228" s="1"/>
  <c r="G64" i="2228"/>
  <c r="F64" i="2228" s="1"/>
  <c r="G65" i="2228"/>
  <c r="F65" i="2228" s="1"/>
  <c r="G66" i="2228"/>
  <c r="F66" i="2228" s="1"/>
  <c r="G67" i="2228"/>
  <c r="F67" i="2228" s="1"/>
  <c r="G68" i="2228"/>
  <c r="F68" i="2228" s="1"/>
  <c r="G69" i="2228"/>
  <c r="F69" i="2228" s="1"/>
  <c r="G70" i="2228"/>
  <c r="F70" i="2228" s="1"/>
  <c r="G71" i="2228"/>
  <c r="F71" i="2228" s="1"/>
  <c r="G72" i="2228"/>
  <c r="F72" i="2228" s="1"/>
  <c r="G73" i="2228"/>
  <c r="F73" i="2228" s="1"/>
  <c r="G74" i="2228"/>
  <c r="F74" i="2228" s="1"/>
  <c r="G75" i="2228"/>
  <c r="F75" i="2228" s="1"/>
  <c r="G76" i="2228"/>
  <c r="F76" i="2228" s="1"/>
  <c r="G77" i="2228"/>
  <c r="F77" i="2228" s="1"/>
  <c r="G78" i="2228"/>
  <c r="F78" i="2228" s="1"/>
  <c r="G79" i="2228"/>
  <c r="F79" i="2228" s="1"/>
  <c r="G80" i="2228"/>
  <c r="F80" i="2228" s="1"/>
  <c r="G81" i="2228"/>
  <c r="F81" i="2228" s="1"/>
  <c r="G82" i="2228"/>
  <c r="F82" i="2228" s="1"/>
  <c r="G83" i="2228"/>
  <c r="F83" i="2228" s="1"/>
  <c r="G84" i="2228"/>
  <c r="F84" i="2228" s="1"/>
  <c r="G85" i="2228"/>
  <c r="F85" i="2228" s="1"/>
  <c r="G86" i="2228"/>
  <c r="F86" i="2228" s="1"/>
  <c r="G87" i="2228"/>
  <c r="F87" i="2228" s="1"/>
  <c r="G88" i="2228"/>
  <c r="F88" i="2228" s="1"/>
  <c r="G89" i="2228"/>
  <c r="F89" i="2228" s="1"/>
  <c r="G90" i="2228"/>
  <c r="F90" i="2228" s="1"/>
  <c r="G91" i="2228"/>
  <c r="F91" i="2228" s="1"/>
  <c r="G92" i="2228"/>
  <c r="F92" i="2228" s="1"/>
  <c r="G93" i="2228"/>
  <c r="F93" i="2228" s="1"/>
  <c r="G94" i="2228"/>
  <c r="F94" i="2228" s="1"/>
  <c r="G95" i="2228"/>
  <c r="F95" i="2228" s="1"/>
  <c r="G96" i="2228"/>
  <c r="F96" i="2228" s="1"/>
  <c r="G97" i="2228"/>
  <c r="F97" i="2228" s="1"/>
  <c r="G98" i="2228"/>
  <c r="F98" i="2228" s="1"/>
  <c r="G99" i="2228"/>
  <c r="F99" i="2228" s="1"/>
  <c r="G100" i="2228"/>
  <c r="F100" i="2228" s="1"/>
  <c r="G101" i="2228"/>
  <c r="F101" i="2228" s="1"/>
  <c r="G102" i="2228"/>
  <c r="F102" i="2228" s="1"/>
  <c r="G103" i="2228"/>
  <c r="F103" i="2228" s="1"/>
  <c r="G104" i="2228"/>
  <c r="F104" i="2228" s="1"/>
  <c r="G105" i="2228"/>
  <c r="F105" i="2228" s="1"/>
  <c r="G106" i="2228"/>
  <c r="F106" i="2228" s="1"/>
  <c r="G107" i="2228"/>
  <c r="F107" i="2228" s="1"/>
  <c r="G108" i="2228"/>
  <c r="F108" i="2228" s="1"/>
  <c r="G109" i="2228"/>
  <c r="F109" i="2228" s="1"/>
  <c r="G110" i="2228"/>
  <c r="F110" i="2228" s="1"/>
  <c r="G111" i="2228"/>
  <c r="F111" i="2228" s="1"/>
  <c r="G112" i="2228"/>
  <c r="F112" i="2228" s="1"/>
  <c r="G113" i="2228"/>
  <c r="F113" i="2228" s="1"/>
  <c r="G114" i="2228"/>
  <c r="F114" i="2228" s="1"/>
  <c r="G115" i="2228"/>
  <c r="F115" i="2228" s="1"/>
  <c r="G116" i="2228"/>
  <c r="F116" i="2228" s="1"/>
  <c r="G117" i="2228"/>
  <c r="F117" i="2228" s="1"/>
  <c r="G118" i="2228"/>
  <c r="F118" i="2228" s="1"/>
  <c r="G119" i="2228"/>
  <c r="F119" i="2228" s="1"/>
  <c r="G120" i="2228"/>
  <c r="F120" i="2228" s="1"/>
  <c r="G121" i="2228"/>
  <c r="F121" i="2228" s="1"/>
  <c r="G122" i="2228"/>
  <c r="F122" i="2228" s="1"/>
  <c r="G123" i="2228"/>
  <c r="F123" i="2228" s="1"/>
  <c r="G124" i="2228"/>
  <c r="F124" i="2228" s="1"/>
  <c r="G125" i="2228"/>
  <c r="F125" i="2228" s="1"/>
  <c r="G126" i="2228"/>
  <c r="F126" i="2228" s="1"/>
  <c r="G127" i="2228"/>
  <c r="F127" i="2228" s="1"/>
  <c r="G128" i="2228"/>
  <c r="F128" i="2228" s="1"/>
  <c r="G129" i="2228"/>
  <c r="F129" i="2228" s="1"/>
  <c r="G130" i="2228"/>
  <c r="F130" i="2228" s="1"/>
  <c r="G131" i="2228"/>
  <c r="F131" i="2228" s="1"/>
  <c r="G132" i="2228"/>
  <c r="F132" i="2228" s="1"/>
  <c r="G133" i="2228"/>
  <c r="F133" i="2228" s="1"/>
  <c r="G134" i="2228"/>
  <c r="F134" i="2228" s="1"/>
  <c r="G135" i="2228"/>
  <c r="F135" i="2228" s="1"/>
  <c r="G136" i="2228"/>
  <c r="F136" i="2228" s="1"/>
  <c r="G137" i="2228"/>
  <c r="F137" i="2228" s="1"/>
  <c r="G138" i="2228"/>
  <c r="F138" i="2228" s="1"/>
  <c r="G139" i="2228"/>
  <c r="F139" i="2228" s="1"/>
  <c r="G140" i="2228"/>
  <c r="F140" i="2228" s="1"/>
  <c r="G141" i="2228"/>
  <c r="F141" i="2228" s="1"/>
  <c r="G142" i="2228"/>
  <c r="F142" i="2228" s="1"/>
  <c r="G143" i="2228"/>
  <c r="F143" i="2228" s="1"/>
  <c r="G144" i="2228"/>
  <c r="F144" i="2228" s="1"/>
  <c r="G145" i="2228"/>
  <c r="F145" i="2228" s="1"/>
  <c r="G146" i="2228"/>
  <c r="F146" i="2228" s="1"/>
  <c r="G147" i="2228"/>
  <c r="F147" i="2228" s="1"/>
  <c r="G148" i="2228"/>
  <c r="F148" i="2228" s="1"/>
  <c r="G149" i="2228"/>
  <c r="F149" i="2228" s="1"/>
  <c r="G150" i="2228"/>
  <c r="F150" i="2228" s="1"/>
  <c r="G151" i="2228"/>
  <c r="F151" i="2228" s="1"/>
  <c r="G152" i="2228"/>
  <c r="F152" i="2228" s="1"/>
  <c r="G153" i="2228"/>
  <c r="F153" i="2228" s="1"/>
  <c r="G154" i="2228"/>
  <c r="F154" i="2228" s="1"/>
  <c r="G155" i="2228"/>
  <c r="F155" i="2228" s="1"/>
  <c r="G156" i="2228"/>
  <c r="F156" i="2228" s="1"/>
  <c r="G157" i="2228"/>
  <c r="F157" i="2228" s="1"/>
  <c r="G158" i="2228"/>
  <c r="F158" i="2228" s="1"/>
  <c r="G159" i="2228"/>
  <c r="F159" i="2228" s="1"/>
  <c r="G160" i="2228"/>
  <c r="F160" i="2228" s="1"/>
  <c r="G161" i="2228"/>
  <c r="F161" i="2228" s="1"/>
  <c r="G162" i="2228"/>
  <c r="F162" i="2228" s="1"/>
  <c r="G163" i="2228"/>
  <c r="F163" i="2228" s="1"/>
  <c r="G164" i="2228"/>
  <c r="F164" i="2228" s="1"/>
  <c r="G165" i="2228"/>
  <c r="F165" i="2228" s="1"/>
  <c r="G166" i="2228"/>
  <c r="F166" i="2228" s="1"/>
  <c r="G167" i="2228"/>
  <c r="F167" i="2228" s="1"/>
  <c r="G168" i="2228"/>
  <c r="F168" i="2228" s="1"/>
  <c r="G169" i="2228"/>
  <c r="F169" i="2228" s="1"/>
  <c r="G170" i="2228"/>
  <c r="F170" i="2228" s="1"/>
  <c r="G171" i="2228"/>
  <c r="F171" i="2228" s="1"/>
  <c r="G172" i="2228"/>
  <c r="F172" i="2228" s="1"/>
  <c r="G173" i="2228"/>
  <c r="F173" i="2228" s="1"/>
  <c r="G174" i="2228"/>
  <c r="F174" i="2228" s="1"/>
  <c r="G175" i="2228"/>
  <c r="F175" i="2228" s="1"/>
  <c r="G176" i="2228"/>
  <c r="F176" i="2228" s="1"/>
  <c r="G177" i="2228"/>
  <c r="F177" i="2228" s="1"/>
  <c r="G178" i="2228"/>
  <c r="F178" i="2228" s="1"/>
  <c r="G179" i="2228"/>
  <c r="F179" i="2228" s="1"/>
  <c r="G180" i="2228"/>
  <c r="F180" i="2228" s="1"/>
  <c r="G181" i="2228"/>
  <c r="F181" i="2228" s="1"/>
  <c r="G182" i="2228"/>
  <c r="F182" i="2228" s="1"/>
  <c r="G183" i="2228"/>
  <c r="F183" i="2228" s="1"/>
  <c r="G184" i="2228"/>
  <c r="F184" i="2228" s="1"/>
  <c r="G185" i="2228"/>
  <c r="F185" i="2228" s="1"/>
  <c r="G186" i="2228"/>
  <c r="F186" i="2228" s="1"/>
  <c r="G187" i="2228"/>
  <c r="F187" i="2228" s="1"/>
  <c r="G188" i="2228"/>
  <c r="F188" i="2228" s="1"/>
  <c r="G189" i="2228"/>
  <c r="F189" i="2228" s="1"/>
  <c r="G190" i="2228"/>
  <c r="F190" i="2228" s="1"/>
  <c r="G191" i="2228"/>
  <c r="F191" i="2228" s="1"/>
  <c r="G192" i="2228"/>
  <c r="F192" i="2228" s="1"/>
  <c r="G193" i="2228"/>
  <c r="F193" i="2228" s="1"/>
  <c r="G194" i="2228"/>
  <c r="D77" i="2227"/>
  <c r="E77" i="2227"/>
  <c r="K77" i="2227"/>
  <c r="N77" i="2227"/>
  <c r="G3" i="2227"/>
  <c r="A6" i="2228"/>
  <c r="Z3" i="2228"/>
  <c r="G4" i="2227"/>
  <c r="Q69" i="2229" l="1"/>
  <c r="F69" i="2229"/>
  <c r="F194" i="2228"/>
  <c r="G195" i="2228"/>
  <c r="G6" i="2227"/>
  <c r="F6" i="2227" s="1"/>
  <c r="G7" i="2227"/>
  <c r="F7" i="2227" s="1"/>
  <c r="G8" i="2227"/>
  <c r="F8" i="2227" s="1"/>
  <c r="G9" i="2227"/>
  <c r="F9" i="2227" s="1"/>
  <c r="G10" i="2227"/>
  <c r="F10" i="2227" s="1"/>
  <c r="G11" i="2227"/>
  <c r="F11" i="2227" s="1"/>
  <c r="G12" i="2227"/>
  <c r="F12" i="2227" s="1"/>
  <c r="G13" i="2227"/>
  <c r="F13" i="2227" s="1"/>
  <c r="G14" i="2227"/>
  <c r="F14" i="2227" s="1"/>
  <c r="G15" i="2227"/>
  <c r="F15" i="2227" s="1"/>
  <c r="G16" i="2227"/>
  <c r="F16" i="2227" s="1"/>
  <c r="G17" i="2227"/>
  <c r="F17" i="2227" s="1"/>
  <c r="G18" i="2227"/>
  <c r="F18" i="2227" s="1"/>
  <c r="G19" i="2227"/>
  <c r="F19" i="2227" s="1"/>
  <c r="G20" i="2227"/>
  <c r="F20" i="2227" s="1"/>
  <c r="G21" i="2227"/>
  <c r="F21" i="2227" s="1"/>
  <c r="G22" i="2227"/>
  <c r="F22" i="2227" s="1"/>
  <c r="G23" i="2227"/>
  <c r="F23" i="2227" s="1"/>
  <c r="G24" i="2227"/>
  <c r="F24" i="2227" s="1"/>
  <c r="G25" i="2227"/>
  <c r="F25" i="2227" s="1"/>
  <c r="G26" i="2227"/>
  <c r="F26" i="2227" s="1"/>
  <c r="G27" i="2227"/>
  <c r="F27" i="2227" s="1"/>
  <c r="G28" i="2227"/>
  <c r="F28" i="2227" s="1"/>
  <c r="G29" i="2227"/>
  <c r="F29" i="2227" s="1"/>
  <c r="G30" i="2227"/>
  <c r="F30" i="2227" s="1"/>
  <c r="G31" i="2227"/>
  <c r="F31" i="2227" s="1"/>
  <c r="G32" i="2227"/>
  <c r="F32" i="2227" s="1"/>
  <c r="G33" i="2227"/>
  <c r="F33" i="2227" s="1"/>
  <c r="G34" i="2227"/>
  <c r="F34" i="2227" s="1"/>
  <c r="G35" i="2227"/>
  <c r="F35" i="2227" s="1"/>
  <c r="G36" i="2227"/>
  <c r="F36" i="2227" s="1"/>
  <c r="G37" i="2227"/>
  <c r="F37" i="2227" s="1"/>
  <c r="G38" i="2227"/>
  <c r="F38" i="2227" s="1"/>
  <c r="G39" i="2227"/>
  <c r="F39" i="2227" s="1"/>
  <c r="G40" i="2227"/>
  <c r="F40" i="2227" s="1"/>
  <c r="G41" i="2227"/>
  <c r="F41" i="2227" s="1"/>
  <c r="G42" i="2227"/>
  <c r="F42" i="2227" s="1"/>
  <c r="G43" i="2227"/>
  <c r="F43" i="2227" s="1"/>
  <c r="G44" i="2227"/>
  <c r="F44" i="2227" s="1"/>
  <c r="G45" i="2227"/>
  <c r="F45" i="2227" s="1"/>
  <c r="G46" i="2227"/>
  <c r="F46" i="2227" s="1"/>
  <c r="G47" i="2227"/>
  <c r="F47" i="2227" s="1"/>
  <c r="G48" i="2227"/>
  <c r="F48" i="2227" s="1"/>
  <c r="G49" i="2227"/>
  <c r="F49" i="2227" s="1"/>
  <c r="G50" i="2227"/>
  <c r="F50" i="2227" s="1"/>
  <c r="G51" i="2227"/>
  <c r="F51" i="2227" s="1"/>
  <c r="G52" i="2227"/>
  <c r="F52" i="2227" s="1"/>
  <c r="G53" i="2227"/>
  <c r="F53" i="2227" s="1"/>
  <c r="G54" i="2227"/>
  <c r="F54" i="2227" s="1"/>
  <c r="G55" i="2227"/>
  <c r="F55" i="2227" s="1"/>
  <c r="G56" i="2227"/>
  <c r="F56" i="2227" s="1"/>
  <c r="G57" i="2227"/>
  <c r="F57" i="2227" s="1"/>
  <c r="G58" i="2227"/>
  <c r="F58" i="2227" s="1"/>
  <c r="G59" i="2227"/>
  <c r="F59" i="2227" s="1"/>
  <c r="G60" i="2227"/>
  <c r="F60" i="2227" s="1"/>
  <c r="G61" i="2227"/>
  <c r="F61" i="2227" s="1"/>
  <c r="G62" i="2227"/>
  <c r="F62" i="2227" s="1"/>
  <c r="G63" i="2227"/>
  <c r="F63" i="2227" s="1"/>
  <c r="G64" i="2227"/>
  <c r="F64" i="2227" s="1"/>
  <c r="G65" i="2227"/>
  <c r="F65" i="2227" s="1"/>
  <c r="G66" i="2227"/>
  <c r="F66" i="2227" s="1"/>
  <c r="G67" i="2227"/>
  <c r="F67" i="2227" s="1"/>
  <c r="G68" i="2227"/>
  <c r="F68" i="2227" s="1"/>
  <c r="G69" i="2227"/>
  <c r="F69" i="2227" s="1"/>
  <c r="G70" i="2227"/>
  <c r="F70" i="2227" s="1"/>
  <c r="G71" i="2227"/>
  <c r="F71" i="2227" s="1"/>
  <c r="G72" i="2227"/>
  <c r="F72" i="2227" s="1"/>
  <c r="G73" i="2227"/>
  <c r="F73" i="2227" s="1"/>
  <c r="G74" i="2227"/>
  <c r="F74" i="2227" s="1"/>
  <c r="G75" i="2227"/>
  <c r="F75" i="2227" s="1"/>
  <c r="G76" i="2227"/>
  <c r="D30" i="2226"/>
  <c r="E30" i="2226"/>
  <c r="K30" i="2226"/>
  <c r="N30" i="2226"/>
  <c r="G3" i="2226"/>
  <c r="A6" i="2227"/>
  <c r="Z3" i="2227"/>
  <c r="G4" i="2226"/>
  <c r="Q195" i="2228" l="1"/>
  <c r="F195" i="2228"/>
  <c r="G77" i="2227"/>
  <c r="F76" i="2227"/>
  <c r="G6" i="2226"/>
  <c r="F6" i="2226" s="1"/>
  <c r="G7" i="2226"/>
  <c r="F7" i="2226" s="1"/>
  <c r="G8" i="2226"/>
  <c r="F8" i="2226" s="1"/>
  <c r="G9" i="2226"/>
  <c r="F9" i="2226" s="1"/>
  <c r="G10" i="2226"/>
  <c r="F10" i="2226" s="1"/>
  <c r="G11" i="2226"/>
  <c r="F11" i="2226" s="1"/>
  <c r="G12" i="2226"/>
  <c r="F12" i="2226" s="1"/>
  <c r="G13" i="2226"/>
  <c r="F13" i="2226" s="1"/>
  <c r="G14" i="2226"/>
  <c r="F14" i="2226" s="1"/>
  <c r="G15" i="2226"/>
  <c r="F15" i="2226" s="1"/>
  <c r="G16" i="2226"/>
  <c r="F16" i="2226" s="1"/>
  <c r="G17" i="2226"/>
  <c r="F17" i="2226" s="1"/>
  <c r="G18" i="2226"/>
  <c r="F18" i="2226" s="1"/>
  <c r="G19" i="2226"/>
  <c r="F19" i="2226" s="1"/>
  <c r="G20" i="2226"/>
  <c r="F20" i="2226" s="1"/>
  <c r="G21" i="2226"/>
  <c r="F21" i="2226" s="1"/>
  <c r="G22" i="2226"/>
  <c r="F22" i="2226" s="1"/>
  <c r="G23" i="2226"/>
  <c r="F23" i="2226" s="1"/>
  <c r="G24" i="2226"/>
  <c r="F24" i="2226" s="1"/>
  <c r="G25" i="2226"/>
  <c r="F25" i="2226" s="1"/>
  <c r="G26" i="2226"/>
  <c r="F26" i="2226" s="1"/>
  <c r="G27" i="2226"/>
  <c r="F27" i="2226" s="1"/>
  <c r="G28" i="2226"/>
  <c r="F28" i="2226" s="1"/>
  <c r="G29" i="2226"/>
  <c r="D224" i="2225"/>
  <c r="E224" i="2225"/>
  <c r="K224" i="2225"/>
  <c r="N224" i="2225"/>
  <c r="G3" i="2225"/>
  <c r="A6" i="2226"/>
  <c r="Z3" i="2226"/>
  <c r="G4" i="2225"/>
  <c r="G30" i="2226" l="1"/>
  <c r="F29" i="2226"/>
  <c r="F77" i="2227"/>
  <c r="Q77" i="2227"/>
  <c r="G6" i="2225"/>
  <c r="F6" i="2225" s="1"/>
  <c r="G7" i="2225"/>
  <c r="F7" i="2225" s="1"/>
  <c r="G8" i="2225"/>
  <c r="F8" i="2225" s="1"/>
  <c r="G9" i="2225"/>
  <c r="F9" i="2225" s="1"/>
  <c r="G10" i="2225"/>
  <c r="F10" i="2225" s="1"/>
  <c r="G11" i="2225"/>
  <c r="F11" i="2225" s="1"/>
  <c r="G12" i="2225"/>
  <c r="F12" i="2225" s="1"/>
  <c r="G13" i="2225"/>
  <c r="F13" i="2225" s="1"/>
  <c r="G14" i="2225"/>
  <c r="F14" i="2225" s="1"/>
  <c r="G15" i="2225"/>
  <c r="F15" i="2225" s="1"/>
  <c r="G16" i="2225"/>
  <c r="F16" i="2225" s="1"/>
  <c r="G17" i="2225"/>
  <c r="F17" i="2225" s="1"/>
  <c r="G18" i="2225"/>
  <c r="F18" i="2225" s="1"/>
  <c r="G19" i="2225"/>
  <c r="F19" i="2225" s="1"/>
  <c r="G20" i="2225"/>
  <c r="F20" i="2225" s="1"/>
  <c r="G21" i="2225"/>
  <c r="F21" i="2225" s="1"/>
  <c r="G22" i="2225"/>
  <c r="F22" i="2225" s="1"/>
  <c r="G23" i="2225"/>
  <c r="F23" i="2225" s="1"/>
  <c r="G24" i="2225"/>
  <c r="F24" i="2225" s="1"/>
  <c r="G25" i="2225"/>
  <c r="F25" i="2225" s="1"/>
  <c r="G26" i="2225"/>
  <c r="F26" i="2225" s="1"/>
  <c r="G27" i="2225"/>
  <c r="F27" i="2225" s="1"/>
  <c r="G28" i="2225"/>
  <c r="F28" i="2225" s="1"/>
  <c r="G29" i="2225"/>
  <c r="F29" i="2225" s="1"/>
  <c r="G30" i="2225"/>
  <c r="F30" i="2225" s="1"/>
  <c r="G31" i="2225"/>
  <c r="F31" i="2225" s="1"/>
  <c r="G32" i="2225"/>
  <c r="F32" i="2225" s="1"/>
  <c r="G33" i="2225"/>
  <c r="F33" i="2225" s="1"/>
  <c r="G34" i="2225"/>
  <c r="F34" i="2225" s="1"/>
  <c r="G35" i="2225"/>
  <c r="F35" i="2225" s="1"/>
  <c r="G36" i="2225"/>
  <c r="F36" i="2225" s="1"/>
  <c r="G37" i="2225"/>
  <c r="F37" i="2225" s="1"/>
  <c r="G38" i="2225"/>
  <c r="F38" i="2225" s="1"/>
  <c r="G39" i="2225"/>
  <c r="F39" i="2225" s="1"/>
  <c r="G40" i="2225"/>
  <c r="F40" i="2225" s="1"/>
  <c r="G41" i="2225"/>
  <c r="F41" i="2225" s="1"/>
  <c r="G42" i="2225"/>
  <c r="F42" i="2225" s="1"/>
  <c r="G43" i="2225"/>
  <c r="F43" i="2225" s="1"/>
  <c r="G44" i="2225"/>
  <c r="F44" i="2225" s="1"/>
  <c r="G45" i="2225"/>
  <c r="F45" i="2225" s="1"/>
  <c r="G46" i="2225"/>
  <c r="F46" i="2225" s="1"/>
  <c r="G47" i="2225"/>
  <c r="F47" i="2225" s="1"/>
  <c r="G48" i="2225"/>
  <c r="F48" i="2225" s="1"/>
  <c r="G49" i="2225"/>
  <c r="F49" i="2225" s="1"/>
  <c r="G50" i="2225"/>
  <c r="F50" i="2225" s="1"/>
  <c r="G51" i="2225"/>
  <c r="F51" i="2225" s="1"/>
  <c r="G52" i="2225"/>
  <c r="F52" i="2225" s="1"/>
  <c r="G53" i="2225"/>
  <c r="F53" i="2225" s="1"/>
  <c r="G54" i="2225"/>
  <c r="F54" i="2225" s="1"/>
  <c r="G55" i="2225"/>
  <c r="F55" i="2225" s="1"/>
  <c r="G56" i="2225"/>
  <c r="F56" i="2225" s="1"/>
  <c r="G57" i="2225"/>
  <c r="F57" i="2225" s="1"/>
  <c r="G58" i="2225"/>
  <c r="F58" i="2225" s="1"/>
  <c r="G59" i="2225"/>
  <c r="F59" i="2225" s="1"/>
  <c r="G60" i="2225"/>
  <c r="F60" i="2225" s="1"/>
  <c r="G61" i="2225"/>
  <c r="F61" i="2225" s="1"/>
  <c r="G62" i="2225"/>
  <c r="F62" i="2225" s="1"/>
  <c r="G63" i="2225"/>
  <c r="F63" i="2225" s="1"/>
  <c r="G64" i="2225"/>
  <c r="F64" i="2225" s="1"/>
  <c r="G65" i="2225"/>
  <c r="F65" i="2225" s="1"/>
  <c r="G66" i="2225"/>
  <c r="F66" i="2225" s="1"/>
  <c r="G67" i="2225"/>
  <c r="F67" i="2225" s="1"/>
  <c r="G68" i="2225"/>
  <c r="F68" i="2225" s="1"/>
  <c r="G69" i="2225"/>
  <c r="F69" i="2225" s="1"/>
  <c r="G70" i="2225"/>
  <c r="F70" i="2225" s="1"/>
  <c r="G71" i="2225"/>
  <c r="F71" i="2225" s="1"/>
  <c r="G72" i="2225"/>
  <c r="F72" i="2225" s="1"/>
  <c r="G73" i="2225"/>
  <c r="F73" i="2225" s="1"/>
  <c r="G74" i="2225"/>
  <c r="F74" i="2225" s="1"/>
  <c r="G75" i="2225"/>
  <c r="F75" i="2225" s="1"/>
  <c r="G76" i="2225"/>
  <c r="F76" i="2225" s="1"/>
  <c r="G77" i="2225"/>
  <c r="F77" i="2225" s="1"/>
  <c r="G78" i="2225"/>
  <c r="F78" i="2225" s="1"/>
  <c r="G79" i="2225"/>
  <c r="F79" i="2225" s="1"/>
  <c r="G80" i="2225"/>
  <c r="F80" i="2225" s="1"/>
  <c r="G81" i="2225"/>
  <c r="F81" i="2225" s="1"/>
  <c r="G82" i="2225"/>
  <c r="F82" i="2225" s="1"/>
  <c r="G83" i="2225"/>
  <c r="F83" i="2225" s="1"/>
  <c r="G84" i="2225"/>
  <c r="F84" i="2225" s="1"/>
  <c r="G85" i="2225"/>
  <c r="F85" i="2225" s="1"/>
  <c r="G86" i="2225"/>
  <c r="F86" i="2225" s="1"/>
  <c r="G87" i="2225"/>
  <c r="F87" i="2225" s="1"/>
  <c r="G88" i="2225"/>
  <c r="F88" i="2225" s="1"/>
  <c r="G89" i="2225"/>
  <c r="F89" i="2225" s="1"/>
  <c r="G90" i="2225"/>
  <c r="F90" i="2225" s="1"/>
  <c r="G91" i="2225"/>
  <c r="F91" i="2225" s="1"/>
  <c r="G92" i="2225"/>
  <c r="F92" i="2225" s="1"/>
  <c r="G93" i="2225"/>
  <c r="F93" i="2225" s="1"/>
  <c r="G94" i="2225"/>
  <c r="F94" i="2225" s="1"/>
  <c r="G95" i="2225"/>
  <c r="F95" i="2225" s="1"/>
  <c r="G96" i="2225"/>
  <c r="F96" i="2225" s="1"/>
  <c r="G97" i="2225"/>
  <c r="F97" i="2225" s="1"/>
  <c r="G98" i="2225"/>
  <c r="F98" i="2225" s="1"/>
  <c r="G99" i="2225"/>
  <c r="F99" i="2225" s="1"/>
  <c r="G100" i="2225"/>
  <c r="F100" i="2225" s="1"/>
  <c r="G101" i="2225"/>
  <c r="F101" i="2225" s="1"/>
  <c r="G102" i="2225"/>
  <c r="F102" i="2225" s="1"/>
  <c r="G103" i="2225"/>
  <c r="F103" i="2225" s="1"/>
  <c r="G104" i="2225"/>
  <c r="F104" i="2225" s="1"/>
  <c r="G105" i="2225"/>
  <c r="F105" i="2225" s="1"/>
  <c r="G106" i="2225"/>
  <c r="F106" i="2225" s="1"/>
  <c r="G107" i="2225"/>
  <c r="F107" i="2225" s="1"/>
  <c r="G108" i="2225"/>
  <c r="F108" i="2225" s="1"/>
  <c r="G109" i="2225"/>
  <c r="F109" i="2225" s="1"/>
  <c r="G110" i="2225"/>
  <c r="F110" i="2225" s="1"/>
  <c r="G111" i="2225"/>
  <c r="F111" i="2225" s="1"/>
  <c r="G112" i="2225"/>
  <c r="F112" i="2225" s="1"/>
  <c r="G113" i="2225"/>
  <c r="F113" i="2225" s="1"/>
  <c r="G114" i="2225"/>
  <c r="F114" i="2225" s="1"/>
  <c r="G115" i="2225"/>
  <c r="F115" i="2225" s="1"/>
  <c r="G116" i="2225"/>
  <c r="F116" i="2225" s="1"/>
  <c r="G117" i="2225"/>
  <c r="F117" i="2225" s="1"/>
  <c r="G118" i="2225"/>
  <c r="F118" i="2225" s="1"/>
  <c r="G119" i="2225"/>
  <c r="F119" i="2225" s="1"/>
  <c r="G120" i="2225"/>
  <c r="F120" i="2225" s="1"/>
  <c r="G121" i="2225"/>
  <c r="F121" i="2225" s="1"/>
  <c r="G122" i="2225"/>
  <c r="F122" i="2225" s="1"/>
  <c r="G123" i="2225"/>
  <c r="F123" i="2225" s="1"/>
  <c r="G124" i="2225"/>
  <c r="F124" i="2225" s="1"/>
  <c r="G125" i="2225"/>
  <c r="F125" i="2225" s="1"/>
  <c r="G126" i="2225"/>
  <c r="F126" i="2225" s="1"/>
  <c r="G127" i="2225"/>
  <c r="F127" i="2225" s="1"/>
  <c r="G128" i="2225"/>
  <c r="F128" i="2225" s="1"/>
  <c r="G129" i="2225"/>
  <c r="F129" i="2225" s="1"/>
  <c r="G130" i="2225"/>
  <c r="F130" i="2225" s="1"/>
  <c r="G131" i="2225"/>
  <c r="F131" i="2225" s="1"/>
  <c r="G132" i="2225"/>
  <c r="F132" i="2225" s="1"/>
  <c r="G133" i="2225"/>
  <c r="F133" i="2225" s="1"/>
  <c r="G134" i="2225"/>
  <c r="F134" i="2225" s="1"/>
  <c r="G135" i="2225"/>
  <c r="F135" i="2225" s="1"/>
  <c r="G136" i="2225"/>
  <c r="F136" i="2225" s="1"/>
  <c r="G137" i="2225"/>
  <c r="F137" i="2225" s="1"/>
  <c r="G138" i="2225"/>
  <c r="F138" i="2225" s="1"/>
  <c r="G139" i="2225"/>
  <c r="F139" i="2225" s="1"/>
  <c r="G140" i="2225"/>
  <c r="F140" i="2225" s="1"/>
  <c r="G141" i="2225"/>
  <c r="F141" i="2225" s="1"/>
  <c r="G142" i="2225"/>
  <c r="F142" i="2225" s="1"/>
  <c r="G143" i="2225"/>
  <c r="F143" i="2225" s="1"/>
  <c r="G144" i="2225"/>
  <c r="F144" i="2225" s="1"/>
  <c r="G145" i="2225"/>
  <c r="F145" i="2225" s="1"/>
  <c r="G146" i="2225"/>
  <c r="F146" i="2225" s="1"/>
  <c r="G147" i="2225"/>
  <c r="F147" i="2225" s="1"/>
  <c r="G148" i="2225"/>
  <c r="F148" i="2225" s="1"/>
  <c r="G149" i="2225"/>
  <c r="F149" i="2225" s="1"/>
  <c r="G150" i="2225"/>
  <c r="F150" i="2225" s="1"/>
  <c r="G151" i="2225"/>
  <c r="F151" i="2225" s="1"/>
  <c r="G152" i="2225"/>
  <c r="F152" i="2225" s="1"/>
  <c r="G153" i="2225"/>
  <c r="F153" i="2225" s="1"/>
  <c r="G154" i="2225"/>
  <c r="F154" i="2225" s="1"/>
  <c r="G155" i="2225"/>
  <c r="F155" i="2225" s="1"/>
  <c r="G156" i="2225"/>
  <c r="F156" i="2225" s="1"/>
  <c r="G157" i="2225"/>
  <c r="F157" i="2225" s="1"/>
  <c r="G158" i="2225"/>
  <c r="F158" i="2225" s="1"/>
  <c r="G159" i="2225"/>
  <c r="F159" i="2225" s="1"/>
  <c r="G160" i="2225"/>
  <c r="F160" i="2225" s="1"/>
  <c r="G161" i="2225"/>
  <c r="F161" i="2225" s="1"/>
  <c r="G162" i="2225"/>
  <c r="F162" i="2225" s="1"/>
  <c r="G163" i="2225"/>
  <c r="F163" i="2225" s="1"/>
  <c r="G164" i="2225"/>
  <c r="F164" i="2225" s="1"/>
  <c r="G165" i="2225"/>
  <c r="F165" i="2225" s="1"/>
  <c r="G166" i="2225"/>
  <c r="F166" i="2225" s="1"/>
  <c r="G167" i="2225"/>
  <c r="F167" i="2225" s="1"/>
  <c r="G168" i="2225"/>
  <c r="F168" i="2225" s="1"/>
  <c r="G169" i="2225"/>
  <c r="F169" i="2225" s="1"/>
  <c r="G170" i="2225"/>
  <c r="F170" i="2225" s="1"/>
  <c r="G171" i="2225"/>
  <c r="F171" i="2225" s="1"/>
  <c r="G172" i="2225"/>
  <c r="F172" i="2225" s="1"/>
  <c r="G173" i="2225"/>
  <c r="F173" i="2225" s="1"/>
  <c r="G174" i="2225"/>
  <c r="F174" i="2225" s="1"/>
  <c r="G175" i="2225"/>
  <c r="F175" i="2225" s="1"/>
  <c r="G176" i="2225"/>
  <c r="F176" i="2225" s="1"/>
  <c r="G177" i="2225"/>
  <c r="F177" i="2225" s="1"/>
  <c r="G178" i="2225"/>
  <c r="F178" i="2225" s="1"/>
  <c r="G179" i="2225"/>
  <c r="F179" i="2225" s="1"/>
  <c r="G180" i="2225"/>
  <c r="F180" i="2225" s="1"/>
  <c r="G181" i="2225"/>
  <c r="F181" i="2225" s="1"/>
  <c r="G182" i="2225"/>
  <c r="F182" i="2225" s="1"/>
  <c r="G183" i="2225"/>
  <c r="F183" i="2225" s="1"/>
  <c r="G184" i="2225"/>
  <c r="F184" i="2225" s="1"/>
  <c r="G185" i="2225"/>
  <c r="F185" i="2225" s="1"/>
  <c r="G186" i="2225"/>
  <c r="F186" i="2225" s="1"/>
  <c r="G187" i="2225"/>
  <c r="F187" i="2225" s="1"/>
  <c r="G188" i="2225"/>
  <c r="F188" i="2225" s="1"/>
  <c r="G189" i="2225"/>
  <c r="F189" i="2225" s="1"/>
  <c r="G190" i="2225"/>
  <c r="F190" i="2225" s="1"/>
  <c r="G191" i="2225"/>
  <c r="F191" i="2225" s="1"/>
  <c r="G192" i="2225"/>
  <c r="F192" i="2225" s="1"/>
  <c r="G193" i="2225"/>
  <c r="F193" i="2225" s="1"/>
  <c r="G194" i="2225"/>
  <c r="F194" i="2225" s="1"/>
  <c r="G195" i="2225"/>
  <c r="F195" i="2225" s="1"/>
  <c r="G196" i="2225"/>
  <c r="F196" i="2225" s="1"/>
  <c r="G197" i="2225"/>
  <c r="F197" i="2225" s="1"/>
  <c r="G198" i="2225"/>
  <c r="F198" i="2225" s="1"/>
  <c r="G199" i="2225"/>
  <c r="F199" i="2225" s="1"/>
  <c r="G200" i="2225"/>
  <c r="F200" i="2225" s="1"/>
  <c r="G201" i="2225"/>
  <c r="F201" i="2225" s="1"/>
  <c r="G202" i="2225"/>
  <c r="F202" i="2225" s="1"/>
  <c r="G203" i="2225"/>
  <c r="F203" i="2225" s="1"/>
  <c r="G204" i="2225"/>
  <c r="F204" i="2225" s="1"/>
  <c r="G205" i="2225"/>
  <c r="F205" i="2225" s="1"/>
  <c r="G206" i="2225"/>
  <c r="F206" i="2225" s="1"/>
  <c r="G207" i="2225"/>
  <c r="F207" i="2225" s="1"/>
  <c r="G208" i="2225"/>
  <c r="F208" i="2225" s="1"/>
  <c r="G209" i="2225"/>
  <c r="F209" i="2225" s="1"/>
  <c r="G210" i="2225"/>
  <c r="F210" i="2225" s="1"/>
  <c r="G211" i="2225"/>
  <c r="F211" i="2225" s="1"/>
  <c r="G212" i="2225"/>
  <c r="F212" i="2225" s="1"/>
  <c r="G213" i="2225"/>
  <c r="F213" i="2225" s="1"/>
  <c r="G214" i="2225"/>
  <c r="F214" i="2225" s="1"/>
  <c r="G215" i="2225"/>
  <c r="F215" i="2225" s="1"/>
  <c r="G216" i="2225"/>
  <c r="F216" i="2225" s="1"/>
  <c r="G217" i="2225"/>
  <c r="F217" i="2225" s="1"/>
  <c r="G218" i="2225"/>
  <c r="F218" i="2225" s="1"/>
  <c r="G219" i="2225"/>
  <c r="F219" i="2225" s="1"/>
  <c r="G220" i="2225"/>
  <c r="F220" i="2225" s="1"/>
  <c r="G221" i="2225"/>
  <c r="F221" i="2225" s="1"/>
  <c r="G222" i="2225"/>
  <c r="F222" i="2225" s="1"/>
  <c r="G223" i="2225"/>
  <c r="D19" i="2224"/>
  <c r="E19" i="2224"/>
  <c r="K19" i="2224"/>
  <c r="N19" i="2224"/>
  <c r="G3" i="2224"/>
  <c r="A6" i="2225"/>
  <c r="Z3" i="2225"/>
  <c r="G4" i="2224"/>
  <c r="F223" i="2225" l="1"/>
  <c r="G224" i="2225"/>
  <c r="F30" i="2226"/>
  <c r="Q30" i="2226"/>
  <c r="G6" i="2224"/>
  <c r="F6" i="2224" s="1"/>
  <c r="G7" i="2224"/>
  <c r="F7" i="2224" s="1"/>
  <c r="G8" i="2224"/>
  <c r="F8" i="2224" s="1"/>
  <c r="G9" i="2224"/>
  <c r="F9" i="2224" s="1"/>
  <c r="G10" i="2224"/>
  <c r="F10" i="2224" s="1"/>
  <c r="G11" i="2224"/>
  <c r="F11" i="2224" s="1"/>
  <c r="G12" i="2224"/>
  <c r="F12" i="2224" s="1"/>
  <c r="G13" i="2224"/>
  <c r="F13" i="2224" s="1"/>
  <c r="G14" i="2224"/>
  <c r="F14" i="2224" s="1"/>
  <c r="G15" i="2224"/>
  <c r="F15" i="2224" s="1"/>
  <c r="G16" i="2224"/>
  <c r="F16" i="2224" s="1"/>
  <c r="G17" i="2224"/>
  <c r="F17" i="2224" s="1"/>
  <c r="G18" i="2224"/>
  <c r="D44" i="2223"/>
  <c r="E44" i="2223"/>
  <c r="K44" i="2223"/>
  <c r="N44" i="2223"/>
  <c r="G3" i="2223"/>
  <c r="A6" i="2224"/>
  <c r="Z3" i="2224"/>
  <c r="G4" i="2223"/>
  <c r="F18" i="2224" l="1"/>
  <c r="G19" i="2224"/>
  <c r="Q224" i="2225"/>
  <c r="F224" i="2225"/>
  <c r="G6" i="2223"/>
  <c r="F6" i="2223" s="1"/>
  <c r="G7" i="2223"/>
  <c r="F7" i="2223" s="1"/>
  <c r="G8" i="2223"/>
  <c r="F8" i="2223" s="1"/>
  <c r="G9" i="2223"/>
  <c r="F9" i="2223" s="1"/>
  <c r="G10" i="2223"/>
  <c r="F10" i="2223" s="1"/>
  <c r="G11" i="2223"/>
  <c r="F11" i="2223" s="1"/>
  <c r="G12" i="2223"/>
  <c r="F12" i="2223" s="1"/>
  <c r="G13" i="2223"/>
  <c r="F13" i="2223" s="1"/>
  <c r="G14" i="2223"/>
  <c r="F14" i="2223" s="1"/>
  <c r="G15" i="2223"/>
  <c r="F15" i="2223" s="1"/>
  <c r="G16" i="2223"/>
  <c r="F16" i="2223" s="1"/>
  <c r="G17" i="2223"/>
  <c r="F17" i="2223" s="1"/>
  <c r="G18" i="2223"/>
  <c r="F18" i="2223" s="1"/>
  <c r="G19" i="2223"/>
  <c r="F19" i="2223" s="1"/>
  <c r="G20" i="2223"/>
  <c r="F20" i="2223" s="1"/>
  <c r="G21" i="2223"/>
  <c r="F21" i="2223" s="1"/>
  <c r="G22" i="2223"/>
  <c r="F22" i="2223" s="1"/>
  <c r="G23" i="2223"/>
  <c r="F23" i="2223" s="1"/>
  <c r="G24" i="2223"/>
  <c r="F24" i="2223" s="1"/>
  <c r="G25" i="2223"/>
  <c r="F25" i="2223" s="1"/>
  <c r="G26" i="2223"/>
  <c r="F26" i="2223" s="1"/>
  <c r="G27" i="2223"/>
  <c r="F27" i="2223" s="1"/>
  <c r="G28" i="2223"/>
  <c r="F28" i="2223" s="1"/>
  <c r="G29" i="2223"/>
  <c r="F29" i="2223" s="1"/>
  <c r="G30" i="2223"/>
  <c r="F30" i="2223" s="1"/>
  <c r="G31" i="2223"/>
  <c r="F31" i="2223" s="1"/>
  <c r="G32" i="2223"/>
  <c r="F32" i="2223" s="1"/>
  <c r="G33" i="2223"/>
  <c r="F33" i="2223" s="1"/>
  <c r="G34" i="2223"/>
  <c r="F34" i="2223" s="1"/>
  <c r="G35" i="2223"/>
  <c r="F35" i="2223" s="1"/>
  <c r="G36" i="2223"/>
  <c r="F36" i="2223" s="1"/>
  <c r="G37" i="2223"/>
  <c r="F37" i="2223" s="1"/>
  <c r="G38" i="2223"/>
  <c r="F38" i="2223" s="1"/>
  <c r="G39" i="2223"/>
  <c r="F39" i="2223" s="1"/>
  <c r="G40" i="2223"/>
  <c r="F40" i="2223" s="1"/>
  <c r="G41" i="2223"/>
  <c r="F41" i="2223" s="1"/>
  <c r="G42" i="2223"/>
  <c r="F42" i="2223" s="1"/>
  <c r="G43" i="2223"/>
  <c r="D8" i="2222"/>
  <c r="E8" i="2222"/>
  <c r="K8" i="2222"/>
  <c r="N8" i="2222"/>
  <c r="Q8" i="2222"/>
  <c r="G3" i="2222"/>
  <c r="D568" i="2221"/>
  <c r="E568" i="2221"/>
  <c r="K568" i="2221"/>
  <c r="N568" i="2221"/>
  <c r="G3" i="2221"/>
  <c r="A6" i="2223"/>
  <c r="Z3" i="2223"/>
  <c r="A7" i="2222"/>
  <c r="A6" i="2222"/>
  <c r="G4" i="2222"/>
  <c r="Z3" i="2222"/>
  <c r="G4" i="2221"/>
  <c r="Q19" i="2224" l="1"/>
  <c r="F19" i="2224"/>
  <c r="F43" i="2223"/>
  <c r="G44" i="2223"/>
  <c r="G6" i="2221"/>
  <c r="F6" i="2221" s="1"/>
  <c r="G7" i="2221"/>
  <c r="F7" i="2221" s="1"/>
  <c r="G8" i="2221"/>
  <c r="F8" i="2221" s="1"/>
  <c r="G9" i="2221"/>
  <c r="F9" i="2221" s="1"/>
  <c r="G10" i="2221"/>
  <c r="F10" i="2221" s="1"/>
  <c r="G11" i="2221"/>
  <c r="F11" i="2221" s="1"/>
  <c r="G12" i="2221"/>
  <c r="F12" i="2221" s="1"/>
  <c r="G13" i="2221"/>
  <c r="F13" i="2221" s="1"/>
  <c r="G14" i="2221"/>
  <c r="F14" i="2221" s="1"/>
  <c r="G15" i="2221"/>
  <c r="F15" i="2221" s="1"/>
  <c r="G16" i="2221"/>
  <c r="F16" i="2221" s="1"/>
  <c r="G17" i="2221"/>
  <c r="F17" i="2221" s="1"/>
  <c r="G18" i="2221"/>
  <c r="F18" i="2221" s="1"/>
  <c r="G19" i="2221"/>
  <c r="F19" i="2221" s="1"/>
  <c r="G20" i="2221"/>
  <c r="F20" i="2221" s="1"/>
  <c r="G21" i="2221"/>
  <c r="F21" i="2221" s="1"/>
  <c r="G22" i="2221"/>
  <c r="F22" i="2221" s="1"/>
  <c r="G23" i="2221"/>
  <c r="F23" i="2221" s="1"/>
  <c r="G24" i="2221"/>
  <c r="F24" i="2221" s="1"/>
  <c r="G25" i="2221"/>
  <c r="F25" i="2221" s="1"/>
  <c r="G26" i="2221"/>
  <c r="F26" i="2221" s="1"/>
  <c r="G27" i="2221"/>
  <c r="F27" i="2221" s="1"/>
  <c r="G28" i="2221"/>
  <c r="F28" i="2221" s="1"/>
  <c r="G29" i="2221"/>
  <c r="F29" i="2221" s="1"/>
  <c r="G30" i="2221"/>
  <c r="F30" i="2221" s="1"/>
  <c r="G31" i="2221"/>
  <c r="F31" i="2221" s="1"/>
  <c r="G32" i="2221"/>
  <c r="F32" i="2221" s="1"/>
  <c r="G33" i="2221"/>
  <c r="F33" i="2221" s="1"/>
  <c r="G34" i="2221"/>
  <c r="F34" i="2221" s="1"/>
  <c r="G35" i="2221"/>
  <c r="F35" i="2221" s="1"/>
  <c r="G36" i="2221"/>
  <c r="F36" i="2221" s="1"/>
  <c r="G37" i="2221"/>
  <c r="F37" i="2221" s="1"/>
  <c r="G38" i="2221"/>
  <c r="F38" i="2221" s="1"/>
  <c r="G39" i="2221"/>
  <c r="F39" i="2221" s="1"/>
  <c r="G40" i="2221"/>
  <c r="F40" i="2221" s="1"/>
  <c r="G41" i="2221"/>
  <c r="F41" i="2221" s="1"/>
  <c r="G42" i="2221"/>
  <c r="F42" i="2221" s="1"/>
  <c r="G43" i="2221"/>
  <c r="F43" i="2221" s="1"/>
  <c r="G44" i="2221"/>
  <c r="F44" i="2221" s="1"/>
  <c r="G45" i="2221"/>
  <c r="F45" i="2221" s="1"/>
  <c r="G46" i="2221"/>
  <c r="F46" i="2221" s="1"/>
  <c r="G47" i="2221"/>
  <c r="F47" i="2221" s="1"/>
  <c r="G48" i="2221"/>
  <c r="F48" i="2221" s="1"/>
  <c r="G49" i="2221"/>
  <c r="F49" i="2221" s="1"/>
  <c r="G50" i="2221"/>
  <c r="F50" i="2221" s="1"/>
  <c r="G51" i="2221"/>
  <c r="F51" i="2221" s="1"/>
  <c r="G52" i="2221"/>
  <c r="F52" i="2221" s="1"/>
  <c r="G53" i="2221"/>
  <c r="F53" i="2221" s="1"/>
  <c r="G54" i="2221"/>
  <c r="F54" i="2221" s="1"/>
  <c r="G55" i="2221"/>
  <c r="F55" i="2221" s="1"/>
  <c r="G56" i="2221"/>
  <c r="F56" i="2221" s="1"/>
  <c r="G57" i="2221"/>
  <c r="F57" i="2221" s="1"/>
  <c r="G58" i="2221"/>
  <c r="F58" i="2221" s="1"/>
  <c r="G59" i="2221"/>
  <c r="F59" i="2221" s="1"/>
  <c r="G60" i="2221"/>
  <c r="F60" i="2221" s="1"/>
  <c r="G61" i="2221"/>
  <c r="F61" i="2221" s="1"/>
  <c r="G62" i="2221"/>
  <c r="F62" i="2221" s="1"/>
  <c r="G63" i="2221"/>
  <c r="F63" i="2221" s="1"/>
  <c r="G64" i="2221"/>
  <c r="F64" i="2221" s="1"/>
  <c r="G65" i="2221"/>
  <c r="F65" i="2221" s="1"/>
  <c r="G66" i="2221"/>
  <c r="F66" i="2221" s="1"/>
  <c r="G67" i="2221"/>
  <c r="F67" i="2221" s="1"/>
  <c r="G68" i="2221"/>
  <c r="F68" i="2221" s="1"/>
  <c r="G69" i="2221"/>
  <c r="F69" i="2221" s="1"/>
  <c r="G70" i="2221"/>
  <c r="F70" i="2221" s="1"/>
  <c r="G71" i="2221"/>
  <c r="F71" i="2221" s="1"/>
  <c r="G72" i="2221"/>
  <c r="F72" i="2221" s="1"/>
  <c r="G73" i="2221"/>
  <c r="F73" i="2221" s="1"/>
  <c r="G74" i="2221"/>
  <c r="F74" i="2221" s="1"/>
  <c r="G75" i="2221"/>
  <c r="F75" i="2221" s="1"/>
  <c r="G76" i="2221"/>
  <c r="F76" i="2221" s="1"/>
  <c r="G77" i="2221"/>
  <c r="F77" i="2221" s="1"/>
  <c r="G78" i="2221"/>
  <c r="F78" i="2221" s="1"/>
  <c r="G79" i="2221"/>
  <c r="F79" i="2221" s="1"/>
  <c r="G80" i="2221"/>
  <c r="F80" i="2221" s="1"/>
  <c r="G81" i="2221"/>
  <c r="F81" i="2221" s="1"/>
  <c r="G82" i="2221"/>
  <c r="F82" i="2221" s="1"/>
  <c r="G83" i="2221"/>
  <c r="F83" i="2221" s="1"/>
  <c r="G84" i="2221"/>
  <c r="F84" i="2221" s="1"/>
  <c r="G85" i="2221"/>
  <c r="F85" i="2221" s="1"/>
  <c r="G86" i="2221"/>
  <c r="F86" i="2221" s="1"/>
  <c r="G87" i="2221"/>
  <c r="F87" i="2221" s="1"/>
  <c r="G88" i="2221"/>
  <c r="F88" i="2221" s="1"/>
  <c r="G89" i="2221"/>
  <c r="F89" i="2221" s="1"/>
  <c r="G90" i="2221"/>
  <c r="F90" i="2221" s="1"/>
  <c r="G91" i="2221"/>
  <c r="F91" i="2221" s="1"/>
  <c r="G92" i="2221"/>
  <c r="F92" i="2221" s="1"/>
  <c r="G93" i="2221"/>
  <c r="F93" i="2221" s="1"/>
  <c r="G94" i="2221"/>
  <c r="F94" i="2221" s="1"/>
  <c r="G95" i="2221"/>
  <c r="F95" i="2221" s="1"/>
  <c r="G96" i="2221"/>
  <c r="F96" i="2221" s="1"/>
  <c r="G97" i="2221"/>
  <c r="F97" i="2221" s="1"/>
  <c r="G98" i="2221"/>
  <c r="F98" i="2221" s="1"/>
  <c r="G99" i="2221"/>
  <c r="F99" i="2221" s="1"/>
  <c r="G100" i="2221"/>
  <c r="F100" i="2221" s="1"/>
  <c r="G101" i="2221"/>
  <c r="F101" i="2221" s="1"/>
  <c r="G102" i="2221"/>
  <c r="F102" i="2221" s="1"/>
  <c r="G103" i="2221"/>
  <c r="F103" i="2221" s="1"/>
  <c r="G104" i="2221"/>
  <c r="F104" i="2221" s="1"/>
  <c r="G105" i="2221"/>
  <c r="F105" i="2221" s="1"/>
  <c r="G106" i="2221"/>
  <c r="F106" i="2221" s="1"/>
  <c r="G107" i="2221"/>
  <c r="F107" i="2221" s="1"/>
  <c r="G108" i="2221"/>
  <c r="F108" i="2221" s="1"/>
  <c r="G109" i="2221"/>
  <c r="F109" i="2221" s="1"/>
  <c r="G110" i="2221"/>
  <c r="F110" i="2221" s="1"/>
  <c r="G111" i="2221"/>
  <c r="F111" i="2221" s="1"/>
  <c r="G112" i="2221"/>
  <c r="F112" i="2221" s="1"/>
  <c r="G113" i="2221"/>
  <c r="F113" i="2221" s="1"/>
  <c r="G114" i="2221"/>
  <c r="F114" i="2221" s="1"/>
  <c r="G115" i="2221"/>
  <c r="F115" i="2221" s="1"/>
  <c r="G116" i="2221"/>
  <c r="F116" i="2221" s="1"/>
  <c r="G117" i="2221"/>
  <c r="F117" i="2221" s="1"/>
  <c r="G118" i="2221"/>
  <c r="F118" i="2221" s="1"/>
  <c r="G119" i="2221"/>
  <c r="F119" i="2221" s="1"/>
  <c r="G120" i="2221"/>
  <c r="F120" i="2221" s="1"/>
  <c r="G121" i="2221"/>
  <c r="F121" i="2221" s="1"/>
  <c r="G122" i="2221"/>
  <c r="F122" i="2221" s="1"/>
  <c r="G123" i="2221"/>
  <c r="F123" i="2221" s="1"/>
  <c r="G124" i="2221"/>
  <c r="F124" i="2221" s="1"/>
  <c r="G125" i="2221"/>
  <c r="F125" i="2221" s="1"/>
  <c r="G126" i="2221"/>
  <c r="F126" i="2221" s="1"/>
  <c r="G127" i="2221"/>
  <c r="F127" i="2221" s="1"/>
  <c r="G128" i="2221"/>
  <c r="F128" i="2221" s="1"/>
  <c r="G129" i="2221"/>
  <c r="F129" i="2221" s="1"/>
  <c r="G130" i="2221"/>
  <c r="F130" i="2221" s="1"/>
  <c r="G131" i="2221"/>
  <c r="F131" i="2221" s="1"/>
  <c r="G132" i="2221"/>
  <c r="F132" i="2221" s="1"/>
  <c r="G133" i="2221"/>
  <c r="F133" i="2221" s="1"/>
  <c r="G134" i="2221"/>
  <c r="F134" i="2221" s="1"/>
  <c r="G135" i="2221"/>
  <c r="F135" i="2221" s="1"/>
  <c r="G136" i="2221"/>
  <c r="F136" i="2221" s="1"/>
  <c r="G137" i="2221"/>
  <c r="F137" i="2221" s="1"/>
  <c r="G138" i="2221"/>
  <c r="F138" i="2221" s="1"/>
  <c r="G139" i="2221"/>
  <c r="F139" i="2221" s="1"/>
  <c r="G140" i="2221"/>
  <c r="F140" i="2221" s="1"/>
  <c r="G141" i="2221"/>
  <c r="F141" i="2221" s="1"/>
  <c r="G142" i="2221"/>
  <c r="F142" i="2221" s="1"/>
  <c r="G143" i="2221"/>
  <c r="F143" i="2221" s="1"/>
  <c r="G144" i="2221"/>
  <c r="F144" i="2221" s="1"/>
  <c r="G145" i="2221"/>
  <c r="F145" i="2221" s="1"/>
  <c r="G146" i="2221"/>
  <c r="F146" i="2221" s="1"/>
  <c r="G147" i="2221"/>
  <c r="F147" i="2221" s="1"/>
  <c r="G148" i="2221"/>
  <c r="F148" i="2221" s="1"/>
  <c r="G149" i="2221"/>
  <c r="F149" i="2221" s="1"/>
  <c r="G150" i="2221"/>
  <c r="F150" i="2221" s="1"/>
  <c r="G151" i="2221"/>
  <c r="F151" i="2221" s="1"/>
  <c r="G152" i="2221"/>
  <c r="F152" i="2221" s="1"/>
  <c r="G153" i="2221"/>
  <c r="F153" i="2221" s="1"/>
  <c r="G154" i="2221"/>
  <c r="F154" i="2221" s="1"/>
  <c r="G155" i="2221"/>
  <c r="F155" i="2221" s="1"/>
  <c r="G156" i="2221"/>
  <c r="F156" i="2221" s="1"/>
  <c r="G157" i="2221"/>
  <c r="F157" i="2221" s="1"/>
  <c r="G158" i="2221"/>
  <c r="F158" i="2221" s="1"/>
  <c r="G159" i="2221"/>
  <c r="F159" i="2221" s="1"/>
  <c r="G160" i="2221"/>
  <c r="F160" i="2221" s="1"/>
  <c r="G161" i="2221"/>
  <c r="F161" i="2221" s="1"/>
  <c r="G162" i="2221"/>
  <c r="F162" i="2221" s="1"/>
  <c r="G163" i="2221"/>
  <c r="F163" i="2221" s="1"/>
  <c r="G164" i="2221"/>
  <c r="F164" i="2221" s="1"/>
  <c r="G165" i="2221"/>
  <c r="F165" i="2221" s="1"/>
  <c r="G166" i="2221"/>
  <c r="F166" i="2221" s="1"/>
  <c r="G167" i="2221"/>
  <c r="F167" i="2221" s="1"/>
  <c r="G168" i="2221"/>
  <c r="F168" i="2221" s="1"/>
  <c r="G169" i="2221"/>
  <c r="F169" i="2221" s="1"/>
  <c r="G170" i="2221"/>
  <c r="F170" i="2221" s="1"/>
  <c r="G171" i="2221"/>
  <c r="F171" i="2221" s="1"/>
  <c r="G172" i="2221"/>
  <c r="F172" i="2221" s="1"/>
  <c r="G173" i="2221"/>
  <c r="F173" i="2221" s="1"/>
  <c r="G174" i="2221"/>
  <c r="F174" i="2221" s="1"/>
  <c r="G175" i="2221"/>
  <c r="F175" i="2221" s="1"/>
  <c r="G176" i="2221"/>
  <c r="F176" i="2221" s="1"/>
  <c r="G177" i="2221"/>
  <c r="F177" i="2221" s="1"/>
  <c r="G178" i="2221"/>
  <c r="F178" i="2221" s="1"/>
  <c r="G179" i="2221"/>
  <c r="F179" i="2221" s="1"/>
  <c r="G180" i="2221"/>
  <c r="F180" i="2221" s="1"/>
  <c r="G181" i="2221"/>
  <c r="F181" i="2221" s="1"/>
  <c r="G182" i="2221"/>
  <c r="F182" i="2221" s="1"/>
  <c r="G183" i="2221"/>
  <c r="F183" i="2221" s="1"/>
  <c r="G184" i="2221"/>
  <c r="F184" i="2221" s="1"/>
  <c r="G185" i="2221"/>
  <c r="F185" i="2221" s="1"/>
  <c r="G186" i="2221"/>
  <c r="F186" i="2221" s="1"/>
  <c r="G187" i="2221"/>
  <c r="F187" i="2221" s="1"/>
  <c r="G188" i="2221"/>
  <c r="F188" i="2221" s="1"/>
  <c r="G189" i="2221"/>
  <c r="F189" i="2221" s="1"/>
  <c r="G190" i="2221"/>
  <c r="F190" i="2221" s="1"/>
  <c r="G191" i="2221"/>
  <c r="F191" i="2221" s="1"/>
  <c r="G192" i="2221"/>
  <c r="F192" i="2221" s="1"/>
  <c r="G193" i="2221"/>
  <c r="F193" i="2221" s="1"/>
  <c r="G194" i="2221"/>
  <c r="F194" i="2221" s="1"/>
  <c r="G195" i="2221"/>
  <c r="F195" i="2221" s="1"/>
  <c r="G196" i="2221"/>
  <c r="F196" i="2221" s="1"/>
  <c r="G197" i="2221"/>
  <c r="F197" i="2221" s="1"/>
  <c r="G198" i="2221"/>
  <c r="F198" i="2221" s="1"/>
  <c r="G199" i="2221"/>
  <c r="F199" i="2221" s="1"/>
  <c r="G200" i="2221"/>
  <c r="F200" i="2221" s="1"/>
  <c r="G201" i="2221"/>
  <c r="F201" i="2221" s="1"/>
  <c r="G202" i="2221"/>
  <c r="F202" i="2221" s="1"/>
  <c r="G203" i="2221"/>
  <c r="F203" i="2221" s="1"/>
  <c r="G204" i="2221"/>
  <c r="F204" i="2221" s="1"/>
  <c r="G205" i="2221"/>
  <c r="F205" i="2221" s="1"/>
  <c r="G206" i="2221"/>
  <c r="F206" i="2221" s="1"/>
  <c r="G207" i="2221"/>
  <c r="F207" i="2221" s="1"/>
  <c r="G208" i="2221"/>
  <c r="F208" i="2221" s="1"/>
  <c r="G209" i="2221"/>
  <c r="F209" i="2221" s="1"/>
  <c r="G210" i="2221"/>
  <c r="F210" i="2221" s="1"/>
  <c r="G211" i="2221"/>
  <c r="F211" i="2221" s="1"/>
  <c r="G212" i="2221"/>
  <c r="F212" i="2221" s="1"/>
  <c r="G213" i="2221"/>
  <c r="F213" i="2221" s="1"/>
  <c r="G214" i="2221"/>
  <c r="F214" i="2221" s="1"/>
  <c r="G215" i="2221"/>
  <c r="F215" i="2221" s="1"/>
  <c r="G216" i="2221"/>
  <c r="F216" i="2221" s="1"/>
  <c r="G217" i="2221"/>
  <c r="F217" i="2221" s="1"/>
  <c r="G218" i="2221"/>
  <c r="F218" i="2221" s="1"/>
  <c r="G219" i="2221"/>
  <c r="F219" i="2221" s="1"/>
  <c r="G220" i="2221"/>
  <c r="F220" i="2221" s="1"/>
  <c r="G221" i="2221"/>
  <c r="F221" i="2221" s="1"/>
  <c r="G222" i="2221"/>
  <c r="F222" i="2221" s="1"/>
  <c r="G223" i="2221"/>
  <c r="F223" i="2221" s="1"/>
  <c r="G224" i="2221"/>
  <c r="F224" i="2221" s="1"/>
  <c r="G225" i="2221"/>
  <c r="F225" i="2221" s="1"/>
  <c r="G226" i="2221"/>
  <c r="F226" i="2221" s="1"/>
  <c r="G227" i="2221"/>
  <c r="F227" i="2221" s="1"/>
  <c r="G228" i="2221"/>
  <c r="F228" i="2221" s="1"/>
  <c r="G229" i="2221"/>
  <c r="F229" i="2221" s="1"/>
  <c r="G230" i="2221"/>
  <c r="F230" i="2221" s="1"/>
  <c r="G231" i="2221"/>
  <c r="F231" i="2221" s="1"/>
  <c r="G232" i="2221"/>
  <c r="F232" i="2221" s="1"/>
  <c r="G233" i="2221"/>
  <c r="F233" i="2221" s="1"/>
  <c r="G234" i="2221"/>
  <c r="F234" i="2221" s="1"/>
  <c r="G235" i="2221"/>
  <c r="F235" i="2221" s="1"/>
  <c r="G236" i="2221"/>
  <c r="F236" i="2221" s="1"/>
  <c r="G237" i="2221"/>
  <c r="F237" i="2221" s="1"/>
  <c r="G238" i="2221"/>
  <c r="F238" i="2221" s="1"/>
  <c r="G239" i="2221"/>
  <c r="F239" i="2221" s="1"/>
  <c r="G240" i="2221"/>
  <c r="F240" i="2221" s="1"/>
  <c r="G241" i="2221"/>
  <c r="F241" i="2221" s="1"/>
  <c r="G242" i="2221"/>
  <c r="F242" i="2221" s="1"/>
  <c r="G243" i="2221"/>
  <c r="F243" i="2221" s="1"/>
  <c r="G244" i="2221"/>
  <c r="F244" i="2221" s="1"/>
  <c r="G245" i="2221"/>
  <c r="F245" i="2221" s="1"/>
  <c r="G246" i="2221"/>
  <c r="F246" i="2221" s="1"/>
  <c r="G247" i="2221"/>
  <c r="F247" i="2221" s="1"/>
  <c r="G248" i="2221"/>
  <c r="F248" i="2221" s="1"/>
  <c r="G249" i="2221"/>
  <c r="F249" i="2221" s="1"/>
  <c r="G250" i="2221"/>
  <c r="F250" i="2221" s="1"/>
  <c r="G251" i="2221"/>
  <c r="F251" i="2221" s="1"/>
  <c r="G252" i="2221"/>
  <c r="F252" i="2221" s="1"/>
  <c r="G253" i="2221"/>
  <c r="F253" i="2221" s="1"/>
  <c r="G254" i="2221"/>
  <c r="F254" i="2221" s="1"/>
  <c r="G255" i="2221"/>
  <c r="F255" i="2221" s="1"/>
  <c r="G256" i="2221"/>
  <c r="F256" i="2221" s="1"/>
  <c r="G257" i="2221"/>
  <c r="F257" i="2221" s="1"/>
  <c r="G258" i="2221"/>
  <c r="F258" i="2221" s="1"/>
  <c r="G259" i="2221"/>
  <c r="F259" i="2221" s="1"/>
  <c r="G260" i="2221"/>
  <c r="F260" i="2221" s="1"/>
  <c r="G261" i="2221"/>
  <c r="F261" i="2221" s="1"/>
  <c r="G262" i="2221"/>
  <c r="F262" i="2221" s="1"/>
  <c r="G263" i="2221"/>
  <c r="F263" i="2221" s="1"/>
  <c r="G264" i="2221"/>
  <c r="F264" i="2221" s="1"/>
  <c r="G265" i="2221"/>
  <c r="F265" i="2221" s="1"/>
  <c r="G266" i="2221"/>
  <c r="F266" i="2221" s="1"/>
  <c r="G267" i="2221"/>
  <c r="F267" i="2221" s="1"/>
  <c r="G268" i="2221"/>
  <c r="F268" i="2221" s="1"/>
  <c r="G269" i="2221"/>
  <c r="F269" i="2221" s="1"/>
  <c r="G270" i="2221"/>
  <c r="F270" i="2221" s="1"/>
  <c r="G271" i="2221"/>
  <c r="F271" i="2221" s="1"/>
  <c r="G272" i="2221"/>
  <c r="F272" i="2221" s="1"/>
  <c r="G273" i="2221"/>
  <c r="F273" i="2221" s="1"/>
  <c r="G274" i="2221"/>
  <c r="F274" i="2221" s="1"/>
  <c r="G275" i="2221"/>
  <c r="F275" i="2221" s="1"/>
  <c r="G276" i="2221"/>
  <c r="F276" i="2221" s="1"/>
  <c r="G277" i="2221"/>
  <c r="F277" i="2221" s="1"/>
  <c r="G278" i="2221"/>
  <c r="F278" i="2221" s="1"/>
  <c r="G279" i="2221"/>
  <c r="F279" i="2221" s="1"/>
  <c r="G280" i="2221"/>
  <c r="F280" i="2221" s="1"/>
  <c r="G281" i="2221"/>
  <c r="F281" i="2221" s="1"/>
  <c r="G282" i="2221"/>
  <c r="F282" i="2221" s="1"/>
  <c r="G283" i="2221"/>
  <c r="F283" i="2221" s="1"/>
  <c r="G284" i="2221"/>
  <c r="F284" i="2221" s="1"/>
  <c r="G285" i="2221"/>
  <c r="F285" i="2221" s="1"/>
  <c r="G286" i="2221"/>
  <c r="F286" i="2221" s="1"/>
  <c r="G287" i="2221"/>
  <c r="F287" i="2221" s="1"/>
  <c r="G288" i="2221"/>
  <c r="F288" i="2221" s="1"/>
  <c r="G289" i="2221"/>
  <c r="F289" i="2221" s="1"/>
  <c r="G290" i="2221"/>
  <c r="F290" i="2221" s="1"/>
  <c r="G291" i="2221"/>
  <c r="F291" i="2221" s="1"/>
  <c r="G292" i="2221"/>
  <c r="F292" i="2221" s="1"/>
  <c r="G293" i="2221"/>
  <c r="F293" i="2221" s="1"/>
  <c r="G294" i="2221"/>
  <c r="F294" i="2221" s="1"/>
  <c r="G295" i="2221"/>
  <c r="F295" i="2221" s="1"/>
  <c r="G296" i="2221"/>
  <c r="F296" i="2221" s="1"/>
  <c r="G297" i="2221"/>
  <c r="F297" i="2221" s="1"/>
  <c r="G298" i="2221"/>
  <c r="F298" i="2221" s="1"/>
  <c r="G299" i="2221"/>
  <c r="F299" i="2221" s="1"/>
  <c r="G300" i="2221"/>
  <c r="F300" i="2221" s="1"/>
  <c r="G301" i="2221"/>
  <c r="F301" i="2221" s="1"/>
  <c r="G302" i="2221"/>
  <c r="F302" i="2221" s="1"/>
  <c r="G303" i="2221"/>
  <c r="F303" i="2221" s="1"/>
  <c r="G304" i="2221"/>
  <c r="F304" i="2221" s="1"/>
  <c r="G305" i="2221"/>
  <c r="F305" i="2221" s="1"/>
  <c r="G306" i="2221"/>
  <c r="F306" i="2221" s="1"/>
  <c r="G307" i="2221"/>
  <c r="F307" i="2221" s="1"/>
  <c r="G308" i="2221"/>
  <c r="F308" i="2221" s="1"/>
  <c r="G309" i="2221"/>
  <c r="F309" i="2221" s="1"/>
  <c r="G310" i="2221"/>
  <c r="F310" i="2221" s="1"/>
  <c r="G311" i="2221"/>
  <c r="F311" i="2221" s="1"/>
  <c r="G312" i="2221"/>
  <c r="F312" i="2221" s="1"/>
  <c r="G313" i="2221"/>
  <c r="F313" i="2221" s="1"/>
  <c r="G314" i="2221"/>
  <c r="F314" i="2221" s="1"/>
  <c r="G315" i="2221"/>
  <c r="F315" i="2221" s="1"/>
  <c r="G316" i="2221"/>
  <c r="F316" i="2221" s="1"/>
  <c r="G317" i="2221"/>
  <c r="F317" i="2221" s="1"/>
  <c r="G318" i="2221"/>
  <c r="F318" i="2221" s="1"/>
  <c r="G319" i="2221"/>
  <c r="F319" i="2221" s="1"/>
  <c r="G320" i="2221"/>
  <c r="F320" i="2221" s="1"/>
  <c r="G321" i="2221"/>
  <c r="F321" i="2221" s="1"/>
  <c r="G322" i="2221"/>
  <c r="F322" i="2221" s="1"/>
  <c r="G323" i="2221"/>
  <c r="F323" i="2221" s="1"/>
  <c r="G324" i="2221"/>
  <c r="F324" i="2221" s="1"/>
  <c r="G325" i="2221"/>
  <c r="F325" i="2221" s="1"/>
  <c r="G326" i="2221"/>
  <c r="F326" i="2221" s="1"/>
  <c r="G327" i="2221"/>
  <c r="F327" i="2221" s="1"/>
  <c r="G328" i="2221"/>
  <c r="F328" i="2221" s="1"/>
  <c r="G329" i="2221"/>
  <c r="F329" i="2221" s="1"/>
  <c r="G330" i="2221"/>
  <c r="F330" i="2221" s="1"/>
  <c r="G331" i="2221"/>
  <c r="F331" i="2221" s="1"/>
  <c r="G332" i="2221"/>
  <c r="F332" i="2221" s="1"/>
  <c r="G333" i="2221"/>
  <c r="F333" i="2221" s="1"/>
  <c r="G334" i="2221"/>
  <c r="F334" i="2221" s="1"/>
  <c r="G335" i="2221"/>
  <c r="F335" i="2221" s="1"/>
  <c r="G336" i="2221"/>
  <c r="F336" i="2221" s="1"/>
  <c r="G337" i="2221"/>
  <c r="F337" i="2221" s="1"/>
  <c r="G338" i="2221"/>
  <c r="F338" i="2221" s="1"/>
  <c r="G339" i="2221"/>
  <c r="F339" i="2221" s="1"/>
  <c r="G340" i="2221"/>
  <c r="F340" i="2221" s="1"/>
  <c r="G341" i="2221"/>
  <c r="F341" i="2221" s="1"/>
  <c r="G342" i="2221"/>
  <c r="F342" i="2221" s="1"/>
  <c r="G343" i="2221"/>
  <c r="F343" i="2221" s="1"/>
  <c r="G344" i="2221"/>
  <c r="F344" i="2221" s="1"/>
  <c r="G345" i="2221"/>
  <c r="F345" i="2221" s="1"/>
  <c r="G346" i="2221"/>
  <c r="F346" i="2221" s="1"/>
  <c r="G347" i="2221"/>
  <c r="F347" i="2221" s="1"/>
  <c r="G348" i="2221"/>
  <c r="F348" i="2221" s="1"/>
  <c r="G349" i="2221"/>
  <c r="F349" i="2221" s="1"/>
  <c r="G350" i="2221"/>
  <c r="F350" i="2221" s="1"/>
  <c r="G351" i="2221"/>
  <c r="F351" i="2221" s="1"/>
  <c r="G352" i="2221"/>
  <c r="F352" i="2221" s="1"/>
  <c r="G353" i="2221"/>
  <c r="F353" i="2221" s="1"/>
  <c r="G354" i="2221"/>
  <c r="F354" i="2221" s="1"/>
  <c r="G355" i="2221"/>
  <c r="F355" i="2221" s="1"/>
  <c r="G356" i="2221"/>
  <c r="F356" i="2221" s="1"/>
  <c r="G357" i="2221"/>
  <c r="F357" i="2221" s="1"/>
  <c r="G358" i="2221"/>
  <c r="F358" i="2221" s="1"/>
  <c r="G359" i="2221"/>
  <c r="F359" i="2221" s="1"/>
  <c r="G360" i="2221"/>
  <c r="F360" i="2221" s="1"/>
  <c r="G361" i="2221"/>
  <c r="F361" i="2221" s="1"/>
  <c r="G362" i="2221"/>
  <c r="F362" i="2221" s="1"/>
  <c r="G363" i="2221"/>
  <c r="F363" i="2221" s="1"/>
  <c r="G364" i="2221"/>
  <c r="F364" i="2221" s="1"/>
  <c r="G365" i="2221"/>
  <c r="F365" i="2221" s="1"/>
  <c r="G366" i="2221"/>
  <c r="F366" i="2221" s="1"/>
  <c r="G367" i="2221"/>
  <c r="F367" i="2221" s="1"/>
  <c r="G368" i="2221"/>
  <c r="F368" i="2221" s="1"/>
  <c r="G369" i="2221"/>
  <c r="F369" i="2221" s="1"/>
  <c r="G370" i="2221"/>
  <c r="F370" i="2221" s="1"/>
  <c r="G371" i="2221"/>
  <c r="F371" i="2221" s="1"/>
  <c r="G372" i="2221"/>
  <c r="F372" i="2221" s="1"/>
  <c r="G373" i="2221"/>
  <c r="F373" i="2221" s="1"/>
  <c r="G374" i="2221"/>
  <c r="F374" i="2221" s="1"/>
  <c r="G375" i="2221"/>
  <c r="F375" i="2221" s="1"/>
  <c r="G376" i="2221"/>
  <c r="F376" i="2221" s="1"/>
  <c r="G377" i="2221"/>
  <c r="F377" i="2221" s="1"/>
  <c r="G378" i="2221"/>
  <c r="F378" i="2221" s="1"/>
  <c r="G379" i="2221"/>
  <c r="F379" i="2221" s="1"/>
  <c r="G380" i="2221"/>
  <c r="F380" i="2221" s="1"/>
  <c r="G381" i="2221"/>
  <c r="F381" i="2221" s="1"/>
  <c r="G382" i="2221"/>
  <c r="F382" i="2221" s="1"/>
  <c r="G383" i="2221"/>
  <c r="F383" i="2221" s="1"/>
  <c r="G384" i="2221"/>
  <c r="F384" i="2221" s="1"/>
  <c r="G385" i="2221"/>
  <c r="F385" i="2221" s="1"/>
  <c r="G386" i="2221"/>
  <c r="F386" i="2221" s="1"/>
  <c r="G387" i="2221"/>
  <c r="F387" i="2221" s="1"/>
  <c r="G388" i="2221"/>
  <c r="F388" i="2221" s="1"/>
  <c r="G389" i="2221"/>
  <c r="F389" i="2221" s="1"/>
  <c r="G390" i="2221"/>
  <c r="F390" i="2221" s="1"/>
  <c r="G391" i="2221"/>
  <c r="F391" i="2221" s="1"/>
  <c r="G392" i="2221"/>
  <c r="F392" i="2221" s="1"/>
  <c r="G393" i="2221"/>
  <c r="F393" i="2221" s="1"/>
  <c r="G394" i="2221"/>
  <c r="F394" i="2221" s="1"/>
  <c r="G395" i="2221"/>
  <c r="F395" i="2221" s="1"/>
  <c r="G396" i="2221"/>
  <c r="F396" i="2221" s="1"/>
  <c r="G397" i="2221"/>
  <c r="F397" i="2221" s="1"/>
  <c r="G398" i="2221"/>
  <c r="F398" i="2221" s="1"/>
  <c r="G399" i="2221"/>
  <c r="F399" i="2221" s="1"/>
  <c r="G400" i="2221"/>
  <c r="F400" i="2221" s="1"/>
  <c r="G401" i="2221"/>
  <c r="F401" i="2221" s="1"/>
  <c r="G402" i="2221"/>
  <c r="F402" i="2221" s="1"/>
  <c r="G403" i="2221"/>
  <c r="F403" i="2221" s="1"/>
  <c r="G404" i="2221"/>
  <c r="F404" i="2221" s="1"/>
  <c r="G405" i="2221"/>
  <c r="F405" i="2221" s="1"/>
  <c r="G406" i="2221"/>
  <c r="F406" i="2221" s="1"/>
  <c r="G407" i="2221"/>
  <c r="F407" i="2221" s="1"/>
  <c r="G408" i="2221"/>
  <c r="F408" i="2221" s="1"/>
  <c r="G409" i="2221"/>
  <c r="F409" i="2221" s="1"/>
  <c r="G410" i="2221"/>
  <c r="F410" i="2221" s="1"/>
  <c r="G411" i="2221"/>
  <c r="F411" i="2221" s="1"/>
  <c r="G412" i="2221"/>
  <c r="F412" i="2221" s="1"/>
  <c r="G413" i="2221"/>
  <c r="F413" i="2221" s="1"/>
  <c r="G414" i="2221"/>
  <c r="F414" i="2221" s="1"/>
  <c r="G415" i="2221"/>
  <c r="F415" i="2221" s="1"/>
  <c r="G416" i="2221"/>
  <c r="F416" i="2221" s="1"/>
  <c r="G417" i="2221"/>
  <c r="F417" i="2221" s="1"/>
  <c r="G418" i="2221"/>
  <c r="F418" i="2221" s="1"/>
  <c r="G419" i="2221"/>
  <c r="F419" i="2221" s="1"/>
  <c r="G420" i="2221"/>
  <c r="F420" i="2221" s="1"/>
  <c r="G421" i="2221"/>
  <c r="F421" i="2221" s="1"/>
  <c r="G422" i="2221"/>
  <c r="F422" i="2221" s="1"/>
  <c r="G423" i="2221"/>
  <c r="F423" i="2221" s="1"/>
  <c r="G424" i="2221"/>
  <c r="F424" i="2221" s="1"/>
  <c r="G425" i="2221"/>
  <c r="F425" i="2221" s="1"/>
  <c r="G426" i="2221"/>
  <c r="F426" i="2221" s="1"/>
  <c r="G427" i="2221"/>
  <c r="F427" i="2221" s="1"/>
  <c r="G428" i="2221"/>
  <c r="F428" i="2221" s="1"/>
  <c r="G429" i="2221"/>
  <c r="F429" i="2221" s="1"/>
  <c r="G430" i="2221"/>
  <c r="F430" i="2221" s="1"/>
  <c r="G431" i="2221"/>
  <c r="F431" i="2221" s="1"/>
  <c r="G432" i="2221"/>
  <c r="F432" i="2221" s="1"/>
  <c r="G433" i="2221"/>
  <c r="F433" i="2221" s="1"/>
  <c r="G434" i="2221"/>
  <c r="F434" i="2221" s="1"/>
  <c r="G435" i="2221"/>
  <c r="F435" i="2221" s="1"/>
  <c r="G436" i="2221"/>
  <c r="F436" i="2221" s="1"/>
  <c r="G437" i="2221"/>
  <c r="F437" i="2221" s="1"/>
  <c r="G438" i="2221"/>
  <c r="F438" i="2221" s="1"/>
  <c r="G439" i="2221"/>
  <c r="F439" i="2221" s="1"/>
  <c r="G440" i="2221"/>
  <c r="F440" i="2221" s="1"/>
  <c r="G441" i="2221"/>
  <c r="F441" i="2221" s="1"/>
  <c r="G442" i="2221"/>
  <c r="F442" i="2221" s="1"/>
  <c r="G443" i="2221"/>
  <c r="F443" i="2221" s="1"/>
  <c r="G444" i="2221"/>
  <c r="F444" i="2221" s="1"/>
  <c r="G445" i="2221"/>
  <c r="F445" i="2221" s="1"/>
  <c r="G446" i="2221"/>
  <c r="F446" i="2221" s="1"/>
  <c r="G447" i="2221"/>
  <c r="F447" i="2221" s="1"/>
  <c r="G448" i="2221"/>
  <c r="F448" i="2221" s="1"/>
  <c r="G449" i="2221"/>
  <c r="F449" i="2221" s="1"/>
  <c r="G450" i="2221"/>
  <c r="F450" i="2221" s="1"/>
  <c r="G451" i="2221"/>
  <c r="F451" i="2221" s="1"/>
  <c r="G452" i="2221"/>
  <c r="F452" i="2221" s="1"/>
  <c r="G453" i="2221"/>
  <c r="F453" i="2221" s="1"/>
  <c r="G454" i="2221"/>
  <c r="F454" i="2221" s="1"/>
  <c r="G455" i="2221"/>
  <c r="F455" i="2221" s="1"/>
  <c r="G456" i="2221"/>
  <c r="F456" i="2221" s="1"/>
  <c r="G457" i="2221"/>
  <c r="F457" i="2221" s="1"/>
  <c r="G458" i="2221"/>
  <c r="F458" i="2221" s="1"/>
  <c r="G459" i="2221"/>
  <c r="F459" i="2221" s="1"/>
  <c r="G460" i="2221"/>
  <c r="F460" i="2221" s="1"/>
  <c r="G461" i="2221"/>
  <c r="F461" i="2221" s="1"/>
  <c r="G462" i="2221"/>
  <c r="F462" i="2221" s="1"/>
  <c r="G463" i="2221"/>
  <c r="F463" i="2221" s="1"/>
  <c r="G464" i="2221"/>
  <c r="F464" i="2221" s="1"/>
  <c r="G465" i="2221"/>
  <c r="F465" i="2221" s="1"/>
  <c r="G466" i="2221"/>
  <c r="F466" i="2221" s="1"/>
  <c r="G467" i="2221"/>
  <c r="F467" i="2221" s="1"/>
  <c r="G468" i="2221"/>
  <c r="F468" i="2221" s="1"/>
  <c r="G469" i="2221"/>
  <c r="F469" i="2221" s="1"/>
  <c r="G470" i="2221"/>
  <c r="F470" i="2221" s="1"/>
  <c r="G471" i="2221"/>
  <c r="F471" i="2221" s="1"/>
  <c r="G472" i="2221"/>
  <c r="F472" i="2221" s="1"/>
  <c r="G473" i="2221"/>
  <c r="F473" i="2221" s="1"/>
  <c r="G474" i="2221"/>
  <c r="F474" i="2221" s="1"/>
  <c r="G475" i="2221"/>
  <c r="F475" i="2221" s="1"/>
  <c r="G476" i="2221"/>
  <c r="F476" i="2221" s="1"/>
  <c r="G477" i="2221"/>
  <c r="F477" i="2221" s="1"/>
  <c r="G478" i="2221"/>
  <c r="F478" i="2221" s="1"/>
  <c r="G479" i="2221"/>
  <c r="F479" i="2221" s="1"/>
  <c r="G480" i="2221"/>
  <c r="F480" i="2221" s="1"/>
  <c r="G481" i="2221"/>
  <c r="F481" i="2221" s="1"/>
  <c r="G482" i="2221"/>
  <c r="F482" i="2221" s="1"/>
  <c r="G483" i="2221"/>
  <c r="F483" i="2221" s="1"/>
  <c r="G484" i="2221"/>
  <c r="F484" i="2221" s="1"/>
  <c r="G485" i="2221"/>
  <c r="F485" i="2221" s="1"/>
  <c r="G486" i="2221"/>
  <c r="F486" i="2221" s="1"/>
  <c r="G487" i="2221"/>
  <c r="F487" i="2221" s="1"/>
  <c r="G488" i="2221"/>
  <c r="F488" i="2221" s="1"/>
  <c r="G489" i="2221"/>
  <c r="F489" i="2221" s="1"/>
  <c r="G490" i="2221"/>
  <c r="F490" i="2221" s="1"/>
  <c r="G491" i="2221"/>
  <c r="F491" i="2221" s="1"/>
  <c r="G492" i="2221"/>
  <c r="F492" i="2221" s="1"/>
  <c r="G493" i="2221"/>
  <c r="F493" i="2221" s="1"/>
  <c r="G494" i="2221"/>
  <c r="F494" i="2221" s="1"/>
  <c r="G495" i="2221"/>
  <c r="F495" i="2221" s="1"/>
  <c r="G496" i="2221"/>
  <c r="F496" i="2221" s="1"/>
  <c r="G497" i="2221"/>
  <c r="F497" i="2221" s="1"/>
  <c r="G498" i="2221"/>
  <c r="F498" i="2221" s="1"/>
  <c r="G499" i="2221"/>
  <c r="F499" i="2221" s="1"/>
  <c r="G500" i="2221"/>
  <c r="F500" i="2221" s="1"/>
  <c r="G501" i="2221"/>
  <c r="F501" i="2221" s="1"/>
  <c r="G502" i="2221"/>
  <c r="F502" i="2221" s="1"/>
  <c r="G503" i="2221"/>
  <c r="F503" i="2221" s="1"/>
  <c r="G504" i="2221"/>
  <c r="F504" i="2221" s="1"/>
  <c r="G505" i="2221"/>
  <c r="F505" i="2221" s="1"/>
  <c r="G506" i="2221"/>
  <c r="F506" i="2221" s="1"/>
  <c r="G507" i="2221"/>
  <c r="F507" i="2221" s="1"/>
  <c r="G508" i="2221"/>
  <c r="F508" i="2221" s="1"/>
  <c r="G509" i="2221"/>
  <c r="F509" i="2221" s="1"/>
  <c r="G510" i="2221"/>
  <c r="F510" i="2221" s="1"/>
  <c r="G511" i="2221"/>
  <c r="F511" i="2221" s="1"/>
  <c r="G512" i="2221"/>
  <c r="F512" i="2221" s="1"/>
  <c r="G513" i="2221"/>
  <c r="F513" i="2221" s="1"/>
  <c r="G514" i="2221"/>
  <c r="F514" i="2221" s="1"/>
  <c r="G515" i="2221"/>
  <c r="F515" i="2221" s="1"/>
  <c r="G516" i="2221"/>
  <c r="F516" i="2221" s="1"/>
  <c r="G517" i="2221"/>
  <c r="F517" i="2221" s="1"/>
  <c r="G518" i="2221"/>
  <c r="F518" i="2221" s="1"/>
  <c r="G519" i="2221"/>
  <c r="F519" i="2221" s="1"/>
  <c r="G520" i="2221"/>
  <c r="F520" i="2221" s="1"/>
  <c r="G521" i="2221"/>
  <c r="F521" i="2221" s="1"/>
  <c r="G522" i="2221"/>
  <c r="F522" i="2221" s="1"/>
  <c r="G523" i="2221"/>
  <c r="F523" i="2221" s="1"/>
  <c r="G524" i="2221"/>
  <c r="F524" i="2221" s="1"/>
  <c r="G525" i="2221"/>
  <c r="F525" i="2221" s="1"/>
  <c r="G526" i="2221"/>
  <c r="F526" i="2221" s="1"/>
  <c r="G527" i="2221"/>
  <c r="F527" i="2221" s="1"/>
  <c r="G528" i="2221"/>
  <c r="F528" i="2221" s="1"/>
  <c r="G529" i="2221"/>
  <c r="F529" i="2221" s="1"/>
  <c r="G530" i="2221"/>
  <c r="F530" i="2221" s="1"/>
  <c r="G531" i="2221"/>
  <c r="F531" i="2221" s="1"/>
  <c r="G532" i="2221"/>
  <c r="F532" i="2221" s="1"/>
  <c r="G533" i="2221"/>
  <c r="F533" i="2221" s="1"/>
  <c r="G534" i="2221"/>
  <c r="F534" i="2221" s="1"/>
  <c r="G535" i="2221"/>
  <c r="F535" i="2221" s="1"/>
  <c r="G536" i="2221"/>
  <c r="F536" i="2221" s="1"/>
  <c r="G537" i="2221"/>
  <c r="F537" i="2221" s="1"/>
  <c r="G538" i="2221"/>
  <c r="F538" i="2221" s="1"/>
  <c r="G539" i="2221"/>
  <c r="F539" i="2221" s="1"/>
  <c r="G540" i="2221"/>
  <c r="F540" i="2221" s="1"/>
  <c r="G541" i="2221"/>
  <c r="F541" i="2221" s="1"/>
  <c r="G542" i="2221"/>
  <c r="F542" i="2221" s="1"/>
  <c r="G543" i="2221"/>
  <c r="F543" i="2221" s="1"/>
  <c r="G544" i="2221"/>
  <c r="F544" i="2221" s="1"/>
  <c r="G545" i="2221"/>
  <c r="F545" i="2221" s="1"/>
  <c r="G546" i="2221"/>
  <c r="F546" i="2221" s="1"/>
  <c r="G547" i="2221"/>
  <c r="F547" i="2221" s="1"/>
  <c r="G548" i="2221"/>
  <c r="F548" i="2221" s="1"/>
  <c r="G549" i="2221"/>
  <c r="F549" i="2221" s="1"/>
  <c r="G550" i="2221"/>
  <c r="F550" i="2221" s="1"/>
  <c r="G551" i="2221"/>
  <c r="F551" i="2221" s="1"/>
  <c r="G552" i="2221"/>
  <c r="F552" i="2221" s="1"/>
  <c r="G553" i="2221"/>
  <c r="F553" i="2221" s="1"/>
  <c r="G554" i="2221"/>
  <c r="F554" i="2221" s="1"/>
  <c r="G555" i="2221"/>
  <c r="F555" i="2221" s="1"/>
  <c r="G556" i="2221"/>
  <c r="F556" i="2221" s="1"/>
  <c r="G557" i="2221"/>
  <c r="F557" i="2221" s="1"/>
  <c r="G558" i="2221"/>
  <c r="F558" i="2221" s="1"/>
  <c r="G559" i="2221"/>
  <c r="F559" i="2221" s="1"/>
  <c r="G560" i="2221"/>
  <c r="F560" i="2221" s="1"/>
  <c r="G561" i="2221"/>
  <c r="F561" i="2221" s="1"/>
  <c r="G562" i="2221"/>
  <c r="F562" i="2221" s="1"/>
  <c r="G563" i="2221"/>
  <c r="F563" i="2221" s="1"/>
  <c r="G564" i="2221"/>
  <c r="F564" i="2221" s="1"/>
  <c r="G565" i="2221"/>
  <c r="F565" i="2221" s="1"/>
  <c r="G566" i="2221"/>
  <c r="F566" i="2221" s="1"/>
  <c r="G567" i="2221"/>
  <c r="D13" i="2"/>
  <c r="E13" i="2"/>
  <c r="K13" i="2"/>
  <c r="N13" i="2"/>
  <c r="G3" i="2"/>
  <c r="A6" i="2221"/>
  <c r="Z3" i="2221"/>
  <c r="G4" i="2"/>
  <c r="G568" i="2221" l="1"/>
  <c r="F567" i="2221"/>
  <c r="F44" i="2223"/>
  <c r="Q44" i="2223"/>
  <c r="G6" i="2"/>
  <c r="F6" i="2" s="1"/>
  <c r="G7" i="2"/>
  <c r="F7" i="2" s="1"/>
  <c r="G8" i="2"/>
  <c r="F8" i="2" s="1"/>
  <c r="G9" i="2"/>
  <c r="F9" i="2" s="1"/>
  <c r="G10" i="2"/>
  <c r="F10" i="2" s="1"/>
  <c r="G11" i="2"/>
  <c r="F11" i="2" s="1"/>
  <c r="G12" i="2"/>
  <c r="B4" i="1"/>
  <c r="C1" i="1"/>
  <c r="F1" i="1"/>
  <c r="A6" i="2"/>
  <c r="G1" i="2231" l="1"/>
  <c r="G1" i="2230"/>
  <c r="G1" i="2229"/>
  <c r="G1" i="2228"/>
  <c r="G1" i="2227"/>
  <c r="G1" i="2226"/>
  <c r="G1" i="2225"/>
  <c r="G1" i="2224"/>
  <c r="G1" i="2223"/>
  <c r="G1" i="2222"/>
  <c r="G1" i="2221"/>
  <c r="G1" i="2"/>
  <c r="G13" i="2"/>
  <c r="F12" i="2"/>
  <c r="F568" i="2221"/>
  <c r="Q568" i="2221"/>
  <c r="C7" i="162"/>
  <c r="D7" i="162"/>
  <c r="E7" i="162"/>
  <c r="Z3" i="2"/>
  <c r="F13" i="2" l="1"/>
  <c r="Q13" i="2"/>
</calcChain>
</file>

<file path=xl/sharedStrings.xml><?xml version="1.0" encoding="utf-8"?>
<sst xmlns="http://schemas.openxmlformats.org/spreadsheetml/2006/main" count="12102" uniqueCount="3550">
  <si>
    <t>業務單位</t>
    <phoneticPr fontId="1" type="noConversion"/>
  </si>
  <si>
    <t>會計期間</t>
    <phoneticPr fontId="1" type="noConversion"/>
  </si>
  <si>
    <t>業務日期</t>
    <phoneticPr fontId="1" type="noConversion"/>
  </si>
  <si>
    <t>會計科目</t>
    <phoneticPr fontId="1" type="noConversion"/>
  </si>
  <si>
    <t>前期會計期間</t>
    <phoneticPr fontId="1" type="noConversion"/>
  </si>
  <si>
    <t>T7</t>
    <phoneticPr fontId="1" type="noConversion"/>
  </si>
  <si>
    <t>T1 商部別</t>
    <phoneticPr fontId="1" type="noConversion"/>
  </si>
  <si>
    <t>T2 銀行</t>
    <phoneticPr fontId="1" type="noConversion"/>
  </si>
  <si>
    <t>T3 對象</t>
    <phoneticPr fontId="1" type="noConversion"/>
  </si>
  <si>
    <t>T4 扣繳</t>
    <phoneticPr fontId="1" type="noConversion"/>
  </si>
  <si>
    <t>T5 透支</t>
    <phoneticPr fontId="1" type="noConversion"/>
  </si>
  <si>
    <t>T6 所得</t>
    <phoneticPr fontId="1" type="noConversion"/>
  </si>
  <si>
    <t>T8 所屬公司</t>
    <phoneticPr fontId="1" type="noConversion"/>
  </si>
  <si>
    <t>&lt;ALL&gt;</t>
    <phoneticPr fontId="1" type="noConversion"/>
  </si>
  <si>
    <t>T9</t>
    <phoneticPr fontId="1" type="noConversion"/>
  </si>
  <si>
    <t>T10</t>
    <phoneticPr fontId="1" type="noConversion"/>
  </si>
  <si>
    <t>帳套</t>
    <phoneticPr fontId="1" type="noConversion"/>
  </si>
  <si>
    <t>傳票編號  項次</t>
  </si>
  <si>
    <t>A08</t>
  </si>
  <si>
    <t>A</t>
    <phoneticPr fontId="1" type="noConversion"/>
  </si>
  <si>
    <t>下1日</t>
    <phoneticPr fontId="1" type="noConversion"/>
  </si>
  <si>
    <t>差額</t>
    <phoneticPr fontId="1" type="noConversion"/>
  </si>
  <si>
    <t>A01</t>
  </si>
  <si>
    <t>李志洪</t>
  </si>
  <si>
    <t>A02</t>
  </si>
  <si>
    <t>廖倖伶</t>
  </si>
  <si>
    <t>A03</t>
  </si>
  <si>
    <t>賀芳華</t>
  </si>
  <si>
    <t>A04</t>
  </si>
  <si>
    <t>曾玉英</t>
  </si>
  <si>
    <t>A05</t>
  </si>
  <si>
    <t>張敏菁</t>
  </si>
  <si>
    <t>A06</t>
  </si>
  <si>
    <t>賴慈香</t>
  </si>
  <si>
    <t>A07</t>
  </si>
  <si>
    <t>吳美芬</t>
  </si>
  <si>
    <t>楊淑娟</t>
  </si>
  <si>
    <t>A09</t>
  </si>
  <si>
    <t>彭雅芬</t>
  </si>
  <si>
    <t>A10</t>
  </si>
  <si>
    <t>陳振裕</t>
  </si>
  <si>
    <t>A11</t>
  </si>
  <si>
    <t>陳美珍</t>
  </si>
  <si>
    <t>A12</t>
  </si>
  <si>
    <t>許嘉芳</t>
  </si>
  <si>
    <t>A13</t>
  </si>
  <si>
    <t>高毓玲</t>
  </si>
  <si>
    <t>A14</t>
  </si>
  <si>
    <t>林素雲</t>
  </si>
  <si>
    <t>A15</t>
  </si>
  <si>
    <t>吳淑愛</t>
  </si>
  <si>
    <t>A16</t>
  </si>
  <si>
    <t>陳宜靖</t>
  </si>
  <si>
    <t>A17</t>
  </si>
  <si>
    <t>陳曉青</t>
  </si>
  <si>
    <t>A18</t>
  </si>
  <si>
    <t>李芳姿</t>
  </si>
  <si>
    <t>A19</t>
  </si>
  <si>
    <t>吳佩蓉</t>
  </si>
  <si>
    <t>A20</t>
  </si>
  <si>
    <t>張鈴宜</t>
  </si>
  <si>
    <t>A21</t>
  </si>
  <si>
    <t>陳雅玲</t>
  </si>
  <si>
    <t>A22</t>
  </si>
  <si>
    <t>沈淑慧</t>
  </si>
  <si>
    <t>A23</t>
  </si>
  <si>
    <t>陳玉玲</t>
  </si>
  <si>
    <t>A24</t>
  </si>
  <si>
    <t>蘇怡珊</t>
  </si>
  <si>
    <t>A25</t>
  </si>
  <si>
    <t>陳彥如</t>
  </si>
  <si>
    <t>A26</t>
  </si>
  <si>
    <t>陳秋安</t>
  </si>
  <si>
    <t>A27</t>
  </si>
  <si>
    <t>李宜蓁</t>
  </si>
  <si>
    <t>A28</t>
  </si>
  <si>
    <t>陳淑瑜</t>
  </si>
  <si>
    <t>會計科目：</t>
    <phoneticPr fontId="1" type="noConversion"/>
  </si>
  <si>
    <t>會計科目代號</t>
    <phoneticPr fontId="1" type="noConversion"/>
  </si>
  <si>
    <t>傳票日期</t>
    <phoneticPr fontId="1" type="noConversion"/>
  </si>
  <si>
    <t>借方金額</t>
    <phoneticPr fontId="1" type="noConversion"/>
  </si>
  <si>
    <t>貸方金額</t>
    <phoneticPr fontId="1" type="noConversion"/>
  </si>
  <si>
    <t>借貸</t>
    <phoneticPr fontId="1" type="noConversion"/>
  </si>
  <si>
    <t>餘額</t>
    <phoneticPr fontId="1" type="noConversion"/>
  </si>
  <si>
    <t>商部別</t>
    <phoneticPr fontId="1" type="noConversion"/>
  </si>
  <si>
    <t>分錄摘要</t>
    <phoneticPr fontId="1" type="noConversion"/>
  </si>
  <si>
    <t>幣別</t>
    <phoneticPr fontId="1" type="noConversion"/>
  </si>
  <si>
    <t>原幣金額</t>
    <phoneticPr fontId="1" type="noConversion"/>
  </si>
  <si>
    <t>定存單號/銀行與帳號</t>
    <phoneticPr fontId="1" type="noConversion"/>
  </si>
  <si>
    <t>對象別</t>
    <phoneticPr fontId="1" type="noConversion"/>
  </si>
  <si>
    <t>扣繳代碼</t>
    <phoneticPr fontId="1" type="noConversion"/>
  </si>
  <si>
    <t>透支種類/金融商品</t>
    <phoneticPr fontId="1" type="noConversion"/>
  </si>
  <si>
    <t>所得代碼</t>
    <phoneticPr fontId="1" type="noConversion"/>
  </si>
  <si>
    <t>所屬公司</t>
    <phoneticPr fontId="1" type="noConversion"/>
  </si>
  <si>
    <t>憑證
編號</t>
    <phoneticPr fontId="1" type="noConversion"/>
  </si>
  <si>
    <t>憑證
創建人</t>
    <phoneticPr fontId="1" type="noConversion"/>
  </si>
  <si>
    <t>***  未 銷 帳 明 細 帳  ***</t>
  </si>
  <si>
    <t>Description</t>
    <phoneticPr fontId="1" type="noConversion"/>
  </si>
  <si>
    <t>Date</t>
    <phoneticPr fontId="1" type="noConversion"/>
  </si>
  <si>
    <t>Number</t>
    <phoneticPr fontId="1" type="noConversion"/>
  </si>
  <si>
    <t>Currency</t>
    <phoneticPr fontId="1" type="noConversion"/>
  </si>
  <si>
    <t>Percent</t>
    <phoneticPr fontId="1" type="noConversion"/>
  </si>
  <si>
    <t>Sales Account</t>
    <phoneticPr fontId="1" type="noConversion"/>
  </si>
  <si>
    <t>Import</t>
    <phoneticPr fontId="1" type="noConversion"/>
  </si>
  <si>
    <t>Export</t>
    <phoneticPr fontId="1" type="noConversion"/>
  </si>
  <si>
    <t>Bank Details</t>
    <phoneticPr fontId="1" type="noConversion"/>
  </si>
  <si>
    <t>Other</t>
    <phoneticPr fontId="1" type="noConversion"/>
  </si>
  <si>
    <t>Total</t>
    <phoneticPr fontId="1" type="noConversion"/>
  </si>
  <si>
    <t>詳細報告一</t>
    <phoneticPr fontId="1" type="noConversion"/>
  </si>
  <si>
    <t>詳細報告二</t>
    <phoneticPr fontId="1" type="noConversion"/>
  </si>
  <si>
    <t>{"PageHeaderFormats":[[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]],"Detai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,"TotalFormats":[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],"LevelFormats":[]}</t>
  </si>
  <si>
    <r>
      <t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</t>
    </r>
    <r>
      <rPr>
        <sz val="11"/>
        <color rgb="FFFFFFFF"/>
        <rFont val="細明體"/>
        <family val="3"/>
        <charset val="136"/>
      </rPr>
      <t>借</t>
    </r>
    <r>
      <rPr>
        <sz val="11"/>
        <color rgb="FFFFFFFF"/>
        <rFont val="Calibri"/>
        <family val="2"/>
      </rPr>
      <t>{Qt}{Lb}end if{Lb}{Lb}IF {/LA/DC} = {Qt}C{Qt}  then{Lb}Result = {Qt}</t>
    </r>
    <r>
      <rPr>
        <sz val="11"/>
        <color rgb="FFFFFFFF"/>
        <rFont val="細明體"/>
        <family val="3"/>
        <charset val="136"/>
      </rPr>
      <t>貸</t>
    </r>
    <r>
      <rPr>
        <sz val="11"/>
        <color rgb="FFFFFFFF"/>
        <rFont val="Calibri"/>
        <family val="2"/>
      </rPr>
      <t>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0:|0:|0:|0:|0:|0:|9:</t>
    </r>
    <r>
      <rPr>
        <sz val="11"/>
        <color rgb="FFFFFFFF"/>
        <rFont val="細明體"/>
        <family val="3"/>
        <charset val="136"/>
      </rPr>
      <t>商部別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分錄摘要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幣別</t>
    </r>
    <r>
      <rPr>
        <sz val="11"/>
        <color rgb="FFFFFFFF"/>
        <rFont val="Calibri"/>
        <family val="2"/>
      </rPr>
      <t>|0:|9:</t>
    </r>
    <r>
      <rPr>
        <sz val="11"/>
        <color rgb="FFFFFFFF"/>
        <rFont val="細明體"/>
        <family val="3"/>
        <charset val="136"/>
      </rPr>
      <t>定存單</t>
    </r>
    <r>
      <rPr>
        <sz val="11"/>
        <color rgb="FFFFFFFF"/>
        <rFont val="Calibri"/>
        <family val="2"/>
      </rPr>
      <t>/</t>
    </r>
    <r>
      <rPr>
        <sz val="11"/>
        <color rgb="FFFFFFFF"/>
        <rFont val="細明體"/>
        <family val="3"/>
        <charset val="136"/>
      </rPr>
      <t>銀行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對象別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扣繳代碼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透支種類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所得代碼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所屬公司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憑證</t>
    </r>
    <r>
      <rPr>
        <sz val="11"/>
        <color rgb="FFFFFFFF"/>
        <rFont val="Calibri"/>
        <family val="2"/>
      </rPr>
      <t>NO|9:</t>
    </r>
    <r>
      <rPr>
        <sz val="11"/>
        <color rgb="FFFFFFFF"/>
        <rFont val="細明體"/>
        <family val="3"/>
        <charset val="136"/>
      </rPr>
      <t>創建人</t>
    </r>
    <r>
      <rPr>
        <sz val="11"/>
        <color rgb="FFFFFFFF"/>
        <rFont val="Calibri"/>
        <family val="2"/>
      </rPr>
      <t>,DT=9:</t>
    </r>
    <r>
      <rPr>
        <sz val="11"/>
        <color rgb="FFFFFFFF"/>
        <rFont val="細明體"/>
        <family val="3"/>
        <charset val="136"/>
      </rPr>
      <t>總計</t>
    </r>
    <r>
      <rPr>
        <sz val="11"/>
        <color rgb="FFFFFFFF"/>
        <rFont val="Calibri"/>
        <family val="2"/>
      </rPr>
      <t>|9:|9:|2:|2:|9:|2:|9:|9:|9:|2:|9:|9:|9:|9:|9:|9:"&amp;"|9:|9:,DD=1:|1:|1:|1:|1:|1:|1:|1:|1:|1:|1:|1:|1:|1:|1:|1:|1:|1:|1:,DAF=c2a42fc2-eb18-4020-af73-c7f90dcda7d0,TP=",M_BU,M_LDG,$C$4,$C$4,M_PRD_FROM,M_PRD_TO,M_DATE,M_T1,M_T2,M_T3,M_T4,M_T5,M_T6,M_T8)</t>
    </r>
    <phoneticPr fontId="1" type="noConversion"/>
  </si>
  <si>
    <t>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總計|9:|9:|2:|2:|9:|2:|9:|9:|9:|2:|9:|9:|9:|9:|9:|9:|9:|9:,DD=1:|1:|1:|1:|1:|1:|1:|1:|1:|1:|1:|1:"&amp;"|1:|1:|1:|1:|1:|1:|1:,DAF=260823aa-c7ab-4e56-b4bc-3f1ef94511bf,TP=",M_BU,M_LDG,$C$4,$C$4,M_PRD_FROM,M_PRD_TO,M_DATE,M_T1,M_T2,M_T3,M_T4,M_T5,M_T6,M_T8,M_DATE_NEXT)</t>
    <phoneticPr fontId="1" type="noConversion"/>
  </si>
  <si>
    <t>2022/5 設定名稱</t>
    <phoneticPr fontId="1" type="noConversion"/>
  </si>
  <si>
    <t>TWD</t>
  </si>
  <si>
    <t>總計</t>
  </si>
  <si>
    <t>{"PageHeaderFormats":[[]],"DetailFormats":[],"TotalFormats":[[]],"LevelFormats":[]}</t>
  </si>
  <si>
    <t>帳上餘額：</t>
  </si>
  <si>
    <t>差額：</t>
  </si>
  <si>
    <t>d8f59862-b4c8-45c1-b142-4e666e4b0e88</t>
  </si>
  <si>
    <t>4b6a727c-c451-4d7d-9e82-5628d7f7bd4f</t>
  </si>
  <si>
    <t>213ee8de-9d5e-4e1f-97d2-0dbfe805f686</t>
  </si>
  <si>
    <t>4f29da4f-94a4-421c-aa3d-8713657d31e6</t>
  </si>
  <si>
    <t>1fdead9f-93c8-4f46-a0f1-3c92069370ce</t>
  </si>
  <si>
    <t>49146ca1-4b31-4a03-8492-9a06062a5a8f</t>
  </si>
  <si>
    <t>f07a0d18-1e3a-4f04-a72d-d5b561658abb</t>
  </si>
  <si>
    <t>b1c885dc-e526-4fbb-a3db-f4dd1573443b</t>
  </si>
  <si>
    <t>8c5e4849-a9a3-43e6-bd1d-946b70326b31</t>
  </si>
  <si>
    <t>詳細報告二</t>
    <phoneticPr fontId="1" type="noConversion"/>
  </si>
  <si>
    <t>158e3d70-6d55-4b81-96c7-332aa2de3d2a</t>
  </si>
  <si>
    <t>7646f21b-5ade-44be-9d87-ae839c40990d</t>
  </si>
  <si>
    <t>841cca5a-4aaf-4b3d-ab29-a7f409455b5f</t>
  </si>
  <si>
    <t>bc8cc874-faf8-496c-b911-f51ea4d3d91f</t>
  </si>
  <si>
    <t>91f36b2f-79db-4055-bb9b-7b77b82cce93</t>
  </si>
  <si>
    <t>3f1f8c11-dc5d-4613-b93b-761b2ee6e281</t>
  </si>
  <si>
    <t>0ecb670f-1129-4b12-8808-30c8c77fb108</t>
  </si>
  <si>
    <t>df9cf484-fb69-431a-8a2d-06b9895c7abe</t>
  </si>
  <si>
    <t>861ab782-a79a-4873-be16-0fda125c1772</t>
  </si>
  <si>
    <t>ef406cf8-240b-4793-8f45-eb9ab4b71b0f</t>
  </si>
  <si>
    <t>30615e3a-7c0a-42fb-8f52-3aa0db0fda2d</t>
  </si>
  <si>
    <t>a50e8a4c-13a6-4772-b4ab-6cb8672fc5b5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</si>
  <si>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  <phoneticPr fontId="1" type="noConversion"/>
  </si>
  <si>
    <t>1990/001</t>
    <phoneticPr fontId="1" type="noConversion"/>
  </si>
  <si>
    <t>b701e9a0-c839-465c-b13b-35998139d235</t>
    <phoneticPr fontId="1" type="noConversion"/>
  </si>
  <si>
    <t>{"LevelFormats":[],"ExtendedPageHeaderFormats":[{"RowCellFormats":[]}],"ExtendedDetailFormats":{"RowCellFormats":[]},"ExtendedTotalFormats":[{"RowCellFormats":[]}],"ColumnWidths":[]}</t>
    <phoneticPr fontId="1" type="noConversion"/>
  </si>
  <si>
    <t>70a56de9-9be2-4dfd-b693-097c5b918d8c</t>
    <phoneticPr fontId="1" type="noConversion"/>
  </si>
  <si>
    <t>59822e1d-2dc3-4449-a5dd-576ce26bc0b5</t>
    <phoneticPr fontId="1" type="noConversion"/>
  </si>
  <si>
    <t>31056054-13c9-4e6d-888e-710411ff6297</t>
    <phoneticPr fontId="1" type="noConversion"/>
  </si>
  <si>
    <t>d5dde42b-c40d-4369-9988-540b986d6271</t>
    <phoneticPr fontId="1" type="noConversion"/>
  </si>
  <si>
    <t>5094391b-ac02-4967-b66f-d01710cd9592</t>
    <phoneticPr fontId="1" type="noConversion"/>
  </si>
  <si>
    <t>7b28c11b-04ca-495d-87df-4eea6ac3880e</t>
    <phoneticPr fontId="1" type="noConversion"/>
  </si>
  <si>
    <t>69aad355-f264-4d67-8b7d-cc014ff44d07</t>
    <phoneticPr fontId="1" type="noConversion"/>
  </si>
  <si>
    <t>220d3071-e44d-4b22-9fe3-0b17332b06e4</t>
    <phoneticPr fontId="1" type="noConversion"/>
  </si>
  <si>
    <t>6f724827-04db-432f-a81b-022ec8c08e58</t>
    <phoneticPr fontId="1" type="noConversion"/>
  </si>
  <si>
    <t>b61fdd3f-db5b-4a2d-affd-4620a130ab70</t>
    <phoneticPr fontId="1" type="noConversion"/>
  </si>
  <si>
    <t>98ff2e70-7f3b-451b-ab2b-7b2b4213a865</t>
    <phoneticPr fontId="1" type="noConversion"/>
  </si>
  <si>
    <t>fe15e061-3032-4a88-b2d8-b5d2d9d0cd1e</t>
    <phoneticPr fontId="1" type="noConversion"/>
  </si>
  <si>
    <t>2c0148ec-d95f-4647-b5b9-53e66ca36ada</t>
    <phoneticPr fontId="1" type="noConversion"/>
  </si>
  <si>
    <t>edc2b1bd-33c1-4ce9-9bc8-a53a5c796418</t>
    <phoneticPr fontId="1" type="noConversion"/>
  </si>
  <si>
    <t>dcab3602-8f33-4cc8-aa0f-33bb2823c866</t>
    <phoneticPr fontId="1" type="noConversion"/>
  </si>
  <si>
    <t>bc1e9e8a-26d3-4a66-8060-3545d8d45d68</t>
    <phoneticPr fontId="1" type="noConversion"/>
  </si>
  <si>
    <t>ae56497c-8d29-4701-a414-be3f1af6c5ca</t>
    <phoneticPr fontId="1" type="noConversion"/>
  </si>
  <si>
    <t>bd19c587-4bb1-4869-87e0-f99dac88a8a5</t>
    <phoneticPr fontId="1" type="noConversion"/>
  </si>
  <si>
    <t>32dd5fc2-9f33-434d-8d6d-b3a931659667</t>
    <phoneticPr fontId="1" type="noConversion"/>
  </si>
  <si>
    <t>112ab246-56a7-4ba7-a031-361f1f9b8425</t>
    <phoneticPr fontId="1" type="noConversion"/>
  </si>
  <si>
    <t>86f7d779-03a2-4e7c-a39d-3b7078ec031e</t>
    <phoneticPr fontId="1" type="noConversion"/>
  </si>
  <si>
    <t>c5970095-ca4f-414a-8cd8-04466199809e</t>
    <phoneticPr fontId="1" type="noConversion"/>
  </si>
  <si>
    <t>c940b66c-559a-421c-b2b7-83c7abd41d54</t>
    <phoneticPr fontId="1" type="noConversion"/>
  </si>
  <si>
    <t>7175a9e8-f9c8-48b0-961e-c41a490c0570</t>
    <phoneticPr fontId="1" type="noConversion"/>
  </si>
  <si>
    <t>71b9c73e-cb79-43c6-b4a2-ffd7e04f214c</t>
    <phoneticPr fontId="1" type="noConversion"/>
  </si>
  <si>
    <t>d2948e59-8d61-4e92-aaf7-b9dc3ee9aea3</t>
    <phoneticPr fontId="1" type="noConversion"/>
  </si>
  <si>
    <t>94ebe64c-4b84-4393-8862-f2fc94704540</t>
    <phoneticPr fontId="1" type="noConversion"/>
  </si>
  <si>
    <t>6cf8547a-9b96-48de-95a1-d670e0e7129c</t>
    <phoneticPr fontId="1" type="noConversion"/>
  </si>
  <si>
    <t>bdd1b07a-d0ef-4e1e-8e24-eefffdb81888</t>
    <phoneticPr fontId="1" type="noConversion"/>
  </si>
  <si>
    <t>57691675-1c49-45fc-82d1-61df85ab382a</t>
    <phoneticPr fontId="1" type="noConversion"/>
  </si>
  <si>
    <t>aea0fc51-613f-4b54-8d4c-aac194b4b364</t>
    <phoneticPr fontId="1" type="noConversion"/>
  </si>
  <si>
    <t>02f061e8-06ec-4cda-97e6-708905bb58da</t>
    <phoneticPr fontId="1" type="noConversion"/>
  </si>
  <si>
    <t>8b4ca230-dc40-41b9-b277-11dc394f8e31</t>
    <phoneticPr fontId="1" type="noConversion"/>
  </si>
  <si>
    <t>995a47ab-a957-441c-b222-24c0acca9cf5</t>
    <phoneticPr fontId="1" type="noConversion"/>
  </si>
  <si>
    <t>ce0dd0a2-0dc2-456b-bff6-a47ba99ea07a</t>
    <phoneticPr fontId="1" type="noConversion"/>
  </si>
  <si>
    <t>37a80fc2-13ca-4edc-a58b-2f3b34411d34</t>
    <phoneticPr fontId="1" type="noConversion"/>
  </si>
  <si>
    <t>d3e22feb-1c69-49e3-aa85-25d97cb324a4</t>
    <phoneticPr fontId="1" type="noConversion"/>
  </si>
  <si>
    <t>f2661fa7-e000-4458-bf3d-219c8e27ed92</t>
    <phoneticPr fontId="1" type="noConversion"/>
  </si>
  <si>
    <t>ee0491ff-f33a-4716-b6f5-2514d608b0c6</t>
    <phoneticPr fontId="1" type="noConversion"/>
  </si>
  <si>
    <t>a2c55289-272c-4bb7-96cc-4c3214a8afd8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</si>
  <si>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  <phoneticPr fontId="1" type="noConversion"/>
  </si>
  <si>
    <t>9f949c8f-4b84-4fb4-8673-a65e80c06f47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</si>
  <si>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  <phoneticPr fontId="1" type="noConversion"/>
  </si>
  <si>
    <t>50010dd8-6655-4d67-a8f2-652e5f11dc8a</t>
    <phoneticPr fontId="1" type="noConversion"/>
  </si>
  <si>
    <t>69fc2e6c-a92e-40b5-b850-5a1e5abb95ac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</si>
  <si>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  <phoneticPr fontId="1" type="noConversion"/>
  </si>
  <si>
    <t>93e997b1-ee8e-4747-a58f-cd95619d246f</t>
    <phoneticPr fontId="1" type="noConversion"/>
  </si>
  <si>
    <t>4435a768-1ad0-47e0-8858-8fd81149efe1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</si>
  <si>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  <phoneticPr fontId="1" type="noConversion"/>
  </si>
  <si>
    <t>b414919e-f2c7-4e67-830c-ba0a41eebf56</t>
    <phoneticPr fontId="1" type="noConversion"/>
  </si>
  <si>
    <t>2207d7ec-8eb0-417a-bdf7-403bc8643881</t>
    <phoneticPr fontId="1" type="noConversion"/>
  </si>
  <si>
    <t>c1ef7feb-7c2f-4c66-ae0d-2537ee4aadd5</t>
    <phoneticPr fontId="1" type="noConversion"/>
  </si>
  <si>
    <t>1.02_detail1.qadr  (放在每張表的A6)</t>
    <phoneticPr fontId="1" type="noConversion"/>
  </si>
  <si>
    <t>c4cc3e8e-fddd-4b78-b824-7116a831184d</t>
    <phoneticPr fontId="1" type="noConversion"/>
  </si>
  <si>
    <t>8bb20c25-55ef-46d1-9241-adec06b9043b</t>
    <phoneticPr fontId="1" type="noConversion"/>
  </si>
  <si>
    <t>039618f4-ce25-4a98-963a-830c504f5828</t>
    <phoneticPr fontId="1" type="noConversion"/>
  </si>
  <si>
    <t>3d2c6d62-5482-4735-b813-db4e4df787b7</t>
    <phoneticPr fontId="1" type="noConversion"/>
  </si>
  <si>
    <t>f1cc6fe8-4533-440f-93d1-f449b30c1388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</si>
  <si>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1.0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  <phoneticPr fontId="1" type="noConversion"/>
  </si>
  <si>
    <t>ccea40de-1739-42c8-ac7f-d19d008cf400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</si>
  <si>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  <phoneticPr fontId="1" type="noConversion"/>
  </si>
  <si>
    <t>勿殺,若不見,請至詳細報表=&gt;定義=&gt;載入定義</t>
    <phoneticPr fontId="1" type="noConversion"/>
  </si>
  <si>
    <t>2.02_detail2.qadr (其設定原始檔在Z3,所以若有修,Z3也要更新, 在RUN報表時,沒有固定位置,是接在1後面跑)</t>
    <phoneticPr fontId="1" type="noConversion"/>
  </si>
  <si>
    <t>a78ac276-21be-441b-b2d0-539b6cdae9b2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</si>
  <si>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</si>
  <si>
    <t>fefc3728-6a04-4381-a2a0-cc0a28e2a310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</si>
  <si>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</si>
  <si>
    <t>80448edd-9299-45cb-8dee-676a62c22b1a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</si>
  <si>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</si>
  <si>
    <t>描述</t>
  </si>
  <si>
    <t>本位幣金額</t>
  </si>
  <si>
    <t>4def5af4-1a03-4592-93de-124ce38692a3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</si>
  <si>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],"ColumnWidths":[-1.0,-1.0,-1.0,-1.0,-1.0,-1.0,-1.0,-1.0,-1.0,-1.0,-1.0,-1.0,-1.0,-1.0,-1.0,-1.0,-1.0,-1.0,-1.0]}</t>
  </si>
  <si>
    <t>900fdbce-5bda-42db-9aa7-aed9c2d0c181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</si>
  <si>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],"ColumnWidths":[-1.0,-1.0,-1.0,-1.0,-1.0,-1.0,-1.0,-1.0,-1.0,-1.0,-1.0,-1.0,-1.0,-1.0,-1.0,-1.0,-1.0,-1.0]}</t>
  </si>
  <si>
    <t>1dac7d97-6fd2-4fbe-a3bf-1f096247131a</t>
  </si>
  <si>
    <t>6d68ebeb-9097-4754-992e-14501e389148</t>
  </si>
  <si>
    <t>1a0a0134-fb8d-4e3e-81fb-76fc458a9d60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</si>
  <si>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5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],"ColumnWidths":[-1.0,-1.0,-1.0,-1.0,-1.0,-1.0,-1.0,-1.0,-1.0,-1.0,-1.0,-1.0,-1.0,-1.0,-1.0,-1.0,-1.0,-1.0,-1.0]}</t>
  </si>
  <si>
    <t>99999999</t>
  </si>
  <si>
    <t>cf969072-3f0f-4e9b-bcb1-794c7870cf53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</si>
  <si>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5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],"ColumnWidths":[-1.0,-1.0,-1.0,-1.0,-1.0,-1.0,-1.0,-1.0,-1.0,-1.0,-1.0,-1.0,-1.0,-1.0,-1.0,-1.0,-1.0,-1.0]}</t>
  </si>
  <si>
    <t>795c13f2-a5df-4aba-945c-22c5a87db13b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</si>
  <si>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5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</si>
  <si>
    <t>85dd8c44-6b5d-4f13-a6a2-964aa541be7d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</si>
  <si>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5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</si>
  <si>
    <t>45687748-a0e2-4d12-bd27-87e0952376ea</t>
  </si>
  <si>
    <t>3c44179e-b6f7-46f3-aa73-7393040726d4</t>
  </si>
  <si>
    <t>119010</t>
  </si>
  <si>
    <t>暫付款</t>
  </si>
  <si>
    <t>暫付款</t>
    <phoneticPr fontId="1" type="noConversion"/>
  </si>
  <si>
    <t>USD</t>
  </si>
  <si>
    <t>A67</t>
  </si>
  <si>
    <t>F99</t>
    <phoneticPr fontId="1" type="noConversion"/>
  </si>
  <si>
    <t>27935073</t>
  </si>
  <si>
    <t>16445866</t>
  </si>
  <si>
    <t>00AA</t>
  </si>
  <si>
    <t>86384949</t>
  </si>
  <si>
    <t>119010暫付款</t>
  </si>
  <si>
    <t>HD202108060015-1</t>
  </si>
  <si>
    <t>00AC</t>
  </si>
  <si>
    <t>薛昭信建-產險危老新建工程第1次增補[申]</t>
  </si>
  <si>
    <t>76944140</t>
  </si>
  <si>
    <t>HE202306260038-6</t>
  </si>
  <si>
    <t>上手扣過戶費</t>
  </si>
  <si>
    <t>HE202401300021-4</t>
  </si>
  <si>
    <t>暫付客戶配息溢付扣回</t>
  </si>
  <si>
    <t>A60</t>
  </si>
  <si>
    <t>HE202404150053-1</t>
  </si>
  <si>
    <t>代收客戶ADRFEE款</t>
  </si>
  <si>
    <t>HE202408190041-1</t>
  </si>
  <si>
    <t>代付複委託客戶ADR Fee</t>
  </si>
  <si>
    <t>HE202408190041-3</t>
  </si>
  <si>
    <t>HE202408190041-7</t>
  </si>
  <si>
    <t>HE202408260046-1</t>
  </si>
  <si>
    <t>代付複委託客戶配股不足款</t>
  </si>
  <si>
    <t>HE202409020037-13</t>
  </si>
  <si>
    <t>代付複委託客戶ADR Fee不足款_7/22</t>
  </si>
  <si>
    <t>HE202409020037-15</t>
  </si>
  <si>
    <t>22434156</t>
  </si>
  <si>
    <t>23611974</t>
  </si>
  <si>
    <t>22344508</t>
  </si>
  <si>
    <t>47122187</t>
  </si>
  <si>
    <t>HE202502170031-3</t>
  </si>
  <si>
    <t>12873063</t>
  </si>
  <si>
    <t>24545729</t>
  </si>
  <si>
    <t>16130423</t>
  </si>
  <si>
    <t>28043579</t>
  </si>
  <si>
    <t>33907173</t>
  </si>
  <si>
    <t>HE202503270048-1</t>
  </si>
  <si>
    <t>48731223</t>
  </si>
  <si>
    <t>A63</t>
  </si>
  <si>
    <t>29600159</t>
  </si>
  <si>
    <t>12362365</t>
  </si>
  <si>
    <t>28877240</t>
  </si>
  <si>
    <t>11325589</t>
  </si>
  <si>
    <t>23823230</t>
  </si>
  <si>
    <t>23045916</t>
  </si>
  <si>
    <t>23902451</t>
  </si>
  <si>
    <t>22415496</t>
  </si>
  <si>
    <t>11381701</t>
  </si>
  <si>
    <t>16444732</t>
  </si>
  <si>
    <t>53411100</t>
  </si>
  <si>
    <t>27736932</t>
  </si>
  <si>
    <t>84459043</t>
  </si>
  <si>
    <t>23687853</t>
  </si>
  <si>
    <t>97432341</t>
  </si>
  <si>
    <t>55878637</t>
  </si>
  <si>
    <t>22906009</t>
  </si>
  <si>
    <t>83766965</t>
  </si>
  <si>
    <t>12907747</t>
  </si>
  <si>
    <t>86880449</t>
  </si>
  <si>
    <t>24527031</t>
  </si>
  <si>
    <t>70843031</t>
  </si>
  <si>
    <t>12624467</t>
  </si>
  <si>
    <t>84598349</t>
  </si>
  <si>
    <t>12386676</t>
  </si>
  <si>
    <t>89376900</t>
  </si>
  <si>
    <t>79959286</t>
  </si>
  <si>
    <t>31213886</t>
  </si>
  <si>
    <t>22099982</t>
  </si>
  <si>
    <t>12613567</t>
  </si>
  <si>
    <t>18997007</t>
  </si>
  <si>
    <t>00J1</t>
  </si>
  <si>
    <t>114138-04</t>
  </si>
  <si>
    <t>應收帳款－其他－應收收益</t>
  </si>
  <si>
    <t>114140</t>
  </si>
  <si>
    <t>應收帳款－關係人</t>
  </si>
  <si>
    <t>應收帳款－其他－應收收益</t>
    <phoneticPr fontId="1" type="noConversion"/>
  </si>
  <si>
    <t>114138-04應收帳款－其他－應收收益</t>
  </si>
  <si>
    <t>HG202304120045-1</t>
  </si>
  <si>
    <t>應收110.05境內基金申購手續費收入-人民幣</t>
  </si>
  <si>
    <t>CNY</t>
  </si>
  <si>
    <t>23750095</t>
  </si>
  <si>
    <t>12306385</t>
  </si>
  <si>
    <t>97483122</t>
  </si>
  <si>
    <t>16592888</t>
  </si>
  <si>
    <t>HG202412310151-1</t>
  </si>
  <si>
    <t>迴112/5/2沖應收生控基因04月份股代收入</t>
  </si>
  <si>
    <t>54352614</t>
  </si>
  <si>
    <t>89487188</t>
  </si>
  <si>
    <t>29125211</t>
  </si>
  <si>
    <t>54184271</t>
  </si>
  <si>
    <t>55981554</t>
  </si>
  <si>
    <t>97272386</t>
  </si>
  <si>
    <t>54756691</t>
  </si>
  <si>
    <t>23296194</t>
  </si>
  <si>
    <t>22FM</t>
  </si>
  <si>
    <t>22FR</t>
  </si>
  <si>
    <t>80716230</t>
  </si>
  <si>
    <t>22FN</t>
  </si>
  <si>
    <t>22FP</t>
  </si>
  <si>
    <t>EUR</t>
  </si>
  <si>
    <t>KRW</t>
  </si>
  <si>
    <t>84750054</t>
  </si>
  <si>
    <t>70743639</t>
  </si>
  <si>
    <t>86689219</t>
  </si>
  <si>
    <t>80201471</t>
  </si>
  <si>
    <t>54334270</t>
  </si>
  <si>
    <t>28171671</t>
  </si>
  <si>
    <t>23360202</t>
  </si>
  <si>
    <t>23209895</t>
  </si>
  <si>
    <t>27417352</t>
  </si>
  <si>
    <t>86195222</t>
  </si>
  <si>
    <t>70643081</t>
  </si>
  <si>
    <t>54795553</t>
  </si>
  <si>
    <t>27797183</t>
  </si>
  <si>
    <t>89351154</t>
  </si>
  <si>
    <t>27472592</t>
  </si>
  <si>
    <t>56690647</t>
  </si>
  <si>
    <t>24550172</t>
  </si>
  <si>
    <t>44913118</t>
  </si>
  <si>
    <t>70730347</t>
  </si>
  <si>
    <t>76404919</t>
  </si>
  <si>
    <t>27717512</t>
  </si>
  <si>
    <t>80627878</t>
  </si>
  <si>
    <t>70730016</t>
  </si>
  <si>
    <t>28334226</t>
  </si>
  <si>
    <t>28895042</t>
  </si>
  <si>
    <t>86649006</t>
  </si>
  <si>
    <t>70471881</t>
  </si>
  <si>
    <t>11915305</t>
  </si>
  <si>
    <t>86710851</t>
  </si>
  <si>
    <t>35309102</t>
  </si>
  <si>
    <t>69681831</t>
  </si>
  <si>
    <t>83178333</t>
  </si>
  <si>
    <t>82876042</t>
  </si>
  <si>
    <t>22601800</t>
  </si>
  <si>
    <t>05135956</t>
  </si>
  <si>
    <t>86384510</t>
  </si>
  <si>
    <t>84141187</t>
  </si>
  <si>
    <t>23975263</t>
  </si>
  <si>
    <t>23286631</t>
  </si>
  <si>
    <t>89686953</t>
  </si>
  <si>
    <t>60256758</t>
  </si>
  <si>
    <t>25028357</t>
  </si>
  <si>
    <t>22616509</t>
  </si>
  <si>
    <t>79838241</t>
  </si>
  <si>
    <t>27881246</t>
  </si>
  <si>
    <t>28826144</t>
  </si>
  <si>
    <t>87027821</t>
  </si>
  <si>
    <t>84417537</t>
  </si>
  <si>
    <t>23362476</t>
  </si>
  <si>
    <t>18374607</t>
  </si>
  <si>
    <t>16238655</t>
  </si>
  <si>
    <t>收客戶應付借券費(月結)</t>
  </si>
  <si>
    <t>54153827</t>
  </si>
  <si>
    <t>04301794</t>
  </si>
  <si>
    <t>70817744</t>
  </si>
  <si>
    <t>應收帳款－關係人</t>
    <phoneticPr fontId="1" type="noConversion"/>
  </si>
  <si>
    <t>114140應收帳款－關係人</t>
  </si>
  <si>
    <t>99974193</t>
  </si>
  <si>
    <t>16158857</t>
  </si>
  <si>
    <t>129030-01</t>
  </si>
  <si>
    <t>存出保證金－房屋押租金</t>
  </si>
  <si>
    <t>129030-99</t>
  </si>
  <si>
    <t>存出保證金－其他</t>
  </si>
  <si>
    <t>存出保證金－房屋押租金</t>
    <phoneticPr fontId="1" type="noConversion"/>
  </si>
  <si>
    <t>129030-01存出保證金－房屋押租金</t>
  </si>
  <si>
    <t>102014908-10328</t>
  </si>
  <si>
    <t>北富銀-股務代理部押租保證金           03750168</t>
  </si>
  <si>
    <t>03750168</t>
  </si>
  <si>
    <t>ASI</t>
  </si>
  <si>
    <t>HG201712290209-1</t>
  </si>
  <si>
    <t>金融大樓2樓押租保證金</t>
  </si>
  <si>
    <t>HG202008310023-1</t>
  </si>
  <si>
    <t>台北富邦─金融大樓3.5樓押租保證金存出</t>
  </si>
  <si>
    <t>HG202010300011-3</t>
  </si>
  <si>
    <t>財團法人─福安大樓10樓房屋押金</t>
  </si>
  <si>
    <t>01051934</t>
  </si>
  <si>
    <t>HG202107090017-1</t>
  </si>
  <si>
    <t>富邦人壽─敦化南路一段111號9樓</t>
  </si>
  <si>
    <t>HG202107090017-2</t>
  </si>
  <si>
    <t>HG202209290004-1</t>
  </si>
  <si>
    <t>陳偉修-宜蘭市中山路三段152號2樓押租保</t>
  </si>
  <si>
    <t>F120472133</t>
  </si>
  <si>
    <t>PK1</t>
  </si>
  <si>
    <t>CW202304080001-2277</t>
  </si>
  <si>
    <t>樹林分公司房屋保證金-宸暉</t>
  </si>
  <si>
    <t>CW202304080001-2285</t>
  </si>
  <si>
    <t>新莊分公司房屋押金</t>
  </si>
  <si>
    <t>HG202306060110-16</t>
  </si>
  <si>
    <t>永康分公司-永康區大灣路856號部分-北富銀</t>
  </si>
  <si>
    <t>HG202306060110-29</t>
  </si>
  <si>
    <t>木柵分公司-木柵路3段96號4樓之1-建和製麵工廠</t>
  </si>
  <si>
    <t>04891089</t>
  </si>
  <si>
    <t>03036306</t>
  </si>
  <si>
    <t>HG202306270013-1</t>
  </si>
  <si>
    <t>三峽分公司-押金-三峽區文化路59號之1-太皇實業股份有限公司</t>
  </si>
  <si>
    <t>86035345</t>
  </si>
  <si>
    <t>HG202306270013-2</t>
  </si>
  <si>
    <t>HG202306270013-3</t>
  </si>
  <si>
    <t>HG202306300041-1</t>
  </si>
  <si>
    <t>台灣土銀-斗六分公司房屋押金</t>
  </si>
  <si>
    <t>63369307</t>
  </si>
  <si>
    <t>HG202306300041-3</t>
  </si>
  <si>
    <t>張朝博-二林分公司房屋押金</t>
  </si>
  <si>
    <t>HG202306300041-5</t>
  </si>
  <si>
    <t>國泰世華銀-屏東分公司房屋押金</t>
  </si>
  <si>
    <t>04231910</t>
  </si>
  <si>
    <t>HG202306300041-18</t>
  </si>
  <si>
    <t>華南商銀-南員林分公司房屋押金</t>
  </si>
  <si>
    <t>59739406</t>
  </si>
  <si>
    <t>HG202306300041-20</t>
  </si>
  <si>
    <t>華南商銀-和美分公司房屋押金</t>
  </si>
  <si>
    <t>HG202308090011-1</t>
  </si>
  <si>
    <t>財團法人-福安大樓10樓房屋押金(補差額)</t>
  </si>
  <si>
    <t>HG202309190004-1</t>
  </si>
  <si>
    <t>桃新建設─八德分公司-房屋押租保證金</t>
  </si>
  <si>
    <t>53987033</t>
  </si>
  <si>
    <t>HG202311070097-1</t>
  </si>
  <si>
    <t>富邦人壽─敦化南路一段111號9樓(補差額)</t>
  </si>
  <si>
    <t>HG202311150022-1</t>
  </si>
  <si>
    <t>華南商業-南員林分公司房屋保證金(補差額)</t>
  </si>
  <si>
    <t>03742301</t>
  </si>
  <si>
    <t>HG202312060091-1</t>
  </si>
  <si>
    <t>忠興開發-金融大樓6F及15F押租保證金</t>
  </si>
  <si>
    <t>22420744</t>
  </si>
  <si>
    <t>HG202403180002-1</t>
  </si>
  <si>
    <t>廖玩琇-陽明分公司房屋押租保證金</t>
  </si>
  <si>
    <t>A228784280</t>
  </si>
  <si>
    <t>HG202403180002-2</t>
  </si>
  <si>
    <t>周炎生-陽明分公司房屋押租保證金</t>
  </si>
  <si>
    <t>A120664930</t>
  </si>
  <si>
    <t>HG202403180002-3</t>
  </si>
  <si>
    <t>周素貞-陽明分公司房屋押租保證金</t>
  </si>
  <si>
    <t>A226433753</t>
  </si>
  <si>
    <t>HG202403180002-4</t>
  </si>
  <si>
    <t>周素齡-陽明分公司房屋押租保證金</t>
  </si>
  <si>
    <t>A220665028</t>
  </si>
  <si>
    <t>HG202403180002-5</t>
  </si>
  <si>
    <t>廖茂榮-陽明分公司房屋押租保證金</t>
  </si>
  <si>
    <t>A121282601</t>
  </si>
  <si>
    <t>HG202403180002-6</t>
  </si>
  <si>
    <t>廖茂宏-陽明分公司房屋押租保證金</t>
  </si>
  <si>
    <t>A121282610</t>
  </si>
  <si>
    <t>HG202403180002-7</t>
  </si>
  <si>
    <t>廖玫媛-陽明分公司房屋押租保證金</t>
  </si>
  <si>
    <t>A226176913</t>
  </si>
  <si>
    <t>HG202403180002-9</t>
  </si>
  <si>
    <t>林世明-陽明分公司房屋押租保證金</t>
  </si>
  <si>
    <t>F121340943</t>
  </si>
  <si>
    <t>HG202403180002-10</t>
  </si>
  <si>
    <t>林敬逄-陽明分公司房屋押租保證金</t>
  </si>
  <si>
    <t>A103619566</t>
  </si>
  <si>
    <t>HG202404250111-1</t>
  </si>
  <si>
    <t>國泰人壽-台中市公益路2段51號3樓B1押金</t>
  </si>
  <si>
    <t>03374707</t>
  </si>
  <si>
    <t>HG202405210007-1</t>
  </si>
  <si>
    <t>許財通-北市南京東路五段239 號14樓之12</t>
  </si>
  <si>
    <t>F180003832</t>
  </si>
  <si>
    <t>HG202405220001-1</t>
  </si>
  <si>
    <t>台北富邦-北市南港區三重路19之5號押金</t>
  </si>
  <si>
    <t>HG202405310034-1</t>
  </si>
  <si>
    <t>土銀富邦二號-內湖大樓3樓房屋押金</t>
  </si>
  <si>
    <t>HG202406010004-1</t>
  </si>
  <si>
    <t>臺灣土地-人壽大樓B3F房屋押租保證金</t>
  </si>
  <si>
    <t>HG202406010005-1</t>
  </si>
  <si>
    <t>華南商業-和美分公司房屋押金(補差額)</t>
  </si>
  <si>
    <t>HG202406130002-1</t>
  </si>
  <si>
    <t>裕隆建設-新店分公司押租保證金</t>
  </si>
  <si>
    <t>12105606</t>
  </si>
  <si>
    <t>HG202407040002-1</t>
  </si>
  <si>
    <t>佑牧企業-南屯分公司房屋保證金</t>
  </si>
  <si>
    <t>12897240</t>
  </si>
  <si>
    <t>HG202407220008-1</t>
  </si>
  <si>
    <t>財金物業-青埔分公司押租保證金</t>
  </si>
  <si>
    <t>54002552</t>
  </si>
  <si>
    <t>HG202409100018-1</t>
  </si>
  <si>
    <t>全球人壽-竹科分公司房屋押金(新竹市東區</t>
  </si>
  <si>
    <t>HG202411140007-1</t>
  </si>
  <si>
    <t>江展榮─苗栗分公司新址-房屋押金</t>
  </si>
  <si>
    <t>K122251065</t>
  </si>
  <si>
    <t>HG202411140007-3</t>
  </si>
  <si>
    <t>黃美瑛─苗栗分公司新址-房屋押金</t>
  </si>
  <si>
    <t>K220575162</t>
  </si>
  <si>
    <t>HG202501070009-1</t>
  </si>
  <si>
    <t>林世清-陽明分公司房屋押租保證金</t>
  </si>
  <si>
    <t>F121340934</t>
  </si>
  <si>
    <t>HG202501070009-2</t>
  </si>
  <si>
    <t>林美莉-陽明分公司房屋押租保證金</t>
  </si>
  <si>
    <t>F221340614</t>
  </si>
  <si>
    <t>HG202501220004-1</t>
  </si>
  <si>
    <t>林惠真─羅東分公司房屋押金</t>
  </si>
  <si>
    <t>G201424156</t>
  </si>
  <si>
    <t>HG202502030089-1</t>
  </si>
  <si>
    <t>新北市板橋區農會-新板分公司房屋押金</t>
  </si>
  <si>
    <t>33193302</t>
  </si>
  <si>
    <t>HG202504160007-1</t>
  </si>
  <si>
    <t>富邦一號-人壽大樓房屋押租保證金B1樓</t>
  </si>
  <si>
    <t>129030-99</t>
    <phoneticPr fontId="1" type="noConversion"/>
  </si>
  <si>
    <t>存出保證金－其他</t>
    <phoneticPr fontId="1" type="noConversion"/>
  </si>
  <si>
    <t>129030-99存出保證金－其他</t>
  </si>
  <si>
    <t>890018723-35</t>
  </si>
  <si>
    <t>9/8環球帳列數轉入(偉成大樓管理委員會)</t>
  </si>
  <si>
    <t/>
  </si>
  <si>
    <t>900017190-39</t>
  </si>
  <si>
    <t>忠孝分公司-大陸大樓管理委員會</t>
  </si>
  <si>
    <t>000000005-17</t>
  </si>
  <si>
    <t>郵匯局</t>
  </si>
  <si>
    <t>960030363-59</t>
  </si>
  <si>
    <t>公關暨品牌管理處記者會寬頻線路保證金</t>
  </si>
  <si>
    <t>104041812-42224</t>
  </si>
  <si>
    <t>大陸大樓服務費週轉金(水電費.管理費</t>
  </si>
  <si>
    <t>CS99</t>
  </si>
  <si>
    <t>HG201612300125-1</t>
  </si>
  <si>
    <t>富邦公寓敦南大樓公共水電費周轉金</t>
  </si>
  <si>
    <t>HG201706260052-1</t>
  </si>
  <si>
    <t>永固便利─新敦南大樓車位押租保證金</t>
  </si>
  <si>
    <t>23959144</t>
  </si>
  <si>
    <t>HG202202080002-1</t>
  </si>
  <si>
    <t>OTC履約保證金-結構型商品補繳</t>
  </si>
  <si>
    <t>92002238</t>
  </si>
  <si>
    <t>HG202211100003-1</t>
  </si>
  <si>
    <t>HG202212090005-1</t>
  </si>
  <si>
    <t>HG202302100005-1</t>
  </si>
  <si>
    <t>CW202304080001-2291</t>
  </si>
  <si>
    <t>新台豐大樓週轉金-3樓</t>
  </si>
  <si>
    <t>CW202304080001-2292</t>
  </si>
  <si>
    <t>新台豐1樓-01區週轉金</t>
  </si>
  <si>
    <t>CW202304080001-2293</t>
  </si>
  <si>
    <t>CW202304080001-2294</t>
  </si>
  <si>
    <t>新台豐7.8樓-01區週轉金</t>
  </si>
  <si>
    <t>CW202304080001-2295</t>
  </si>
  <si>
    <t>新台豐4.5樓週轉金</t>
  </si>
  <si>
    <t>CW202304080001-2296</t>
  </si>
  <si>
    <t>CW202304080001-2306</t>
  </si>
  <si>
    <t>新台豐公共費用週轉金-台嘉</t>
  </si>
  <si>
    <t>CW202304080001-2307</t>
  </si>
  <si>
    <t>新台豐1樓01區週轉金</t>
  </si>
  <si>
    <t>CW202304080001-2308</t>
  </si>
  <si>
    <t>台南站前大樓週轉金</t>
  </si>
  <si>
    <t>HG202306300042-3</t>
  </si>
  <si>
    <t>營業戶週轉金-景美分公司-太陽城電影百貨廣場</t>
  </si>
  <si>
    <t>HG202306300042-11</t>
  </si>
  <si>
    <t>發電機保證金-木柵分公司-拔川大樓管理</t>
  </si>
  <si>
    <t>HG202306300042-13</t>
  </si>
  <si>
    <t>郵資預存保證金-二林分公司</t>
  </si>
  <si>
    <t>HG202306300042-15</t>
  </si>
  <si>
    <t>中華電信租用保證金-樹林分公司-市話</t>
  </si>
  <si>
    <t>HG202306300042-17</t>
  </si>
  <si>
    <t>租用郵政信箱鎖鑰保證金-和美分公司</t>
  </si>
  <si>
    <t>HG202310060058-1</t>
  </si>
  <si>
    <t>HG202310110001-1</t>
  </si>
  <si>
    <t>期交所店頭交割結算基金</t>
  </si>
  <si>
    <t>16092130</t>
  </si>
  <si>
    <t>HG202312080002-1</t>
  </si>
  <si>
    <t>HG202401100002-1</t>
  </si>
  <si>
    <t>A41</t>
  </si>
  <si>
    <t>HG202401220005-1</t>
  </si>
  <si>
    <t>臺灣土地─內湖大樓停車位押租保證金</t>
  </si>
  <si>
    <t>HG202402060072-2</t>
  </si>
  <si>
    <t>OTC履約保證金-結構型商品領回</t>
  </si>
  <si>
    <t>HG202403080027-2</t>
  </si>
  <si>
    <t>HG202403250061-1</t>
  </si>
  <si>
    <t>永田有限-台北市忠孝西路一段50號B4.B5車位押金</t>
  </si>
  <si>
    <t>88132815</t>
  </si>
  <si>
    <t>HG202404100021-2</t>
  </si>
  <si>
    <t>HG202405100008-1</t>
  </si>
  <si>
    <t>HG202407100021-2</t>
  </si>
  <si>
    <t>HC202407310074-1</t>
  </si>
  <si>
    <t>11AC5</t>
  </si>
  <si>
    <t>調整科目:IRS累計校正利息</t>
  </si>
  <si>
    <t>A49</t>
  </si>
  <si>
    <t>HC202407310074-3</t>
  </si>
  <si>
    <t>11ACG</t>
  </si>
  <si>
    <t>HG202408090003-1</t>
  </si>
  <si>
    <t>22002235</t>
  </si>
  <si>
    <t>期交所抵繳結算保證金-IRS業務</t>
  </si>
  <si>
    <t>HC202408300085-1</t>
  </si>
  <si>
    <t>HC202408300085-3</t>
  </si>
  <si>
    <t>HG202409020222-1</t>
  </si>
  <si>
    <t>00Z</t>
  </si>
  <si>
    <t>中華電信保證金差額(調整部門別)</t>
  </si>
  <si>
    <t>HC202409030046-1</t>
  </si>
  <si>
    <t>應收IRS息</t>
  </si>
  <si>
    <t>HC202409040048-1</t>
  </si>
  <si>
    <t>HG202409090002-1</t>
  </si>
  <si>
    <t>HC202409110004-5</t>
  </si>
  <si>
    <t>HC202409110004-6</t>
  </si>
  <si>
    <t>應付IRS息</t>
  </si>
  <si>
    <t>HC202409120005-2</t>
  </si>
  <si>
    <t>HC202409180003-4</t>
  </si>
  <si>
    <t>HC202409180003-5</t>
  </si>
  <si>
    <t>HC202409190005-5</t>
  </si>
  <si>
    <t>HC202409190005-26</t>
  </si>
  <si>
    <t>HC202409200003-2</t>
  </si>
  <si>
    <t>HC202409230003-4</t>
  </si>
  <si>
    <t>HC202409230003-55</t>
  </si>
  <si>
    <t>HC202409240002-3</t>
  </si>
  <si>
    <t>HC202409240002-2</t>
  </si>
  <si>
    <t>HC202409240002-4</t>
  </si>
  <si>
    <t>HC202409300003-3</t>
  </si>
  <si>
    <t>迴轉期交所抵繳結算保證金-IRS業務</t>
  </si>
  <si>
    <t>HC202409300085-2</t>
  </si>
  <si>
    <t>11309IRS累計校正利息</t>
  </si>
  <si>
    <t>HC202409300085-4</t>
  </si>
  <si>
    <t>HC202410040014-2</t>
  </si>
  <si>
    <t>HC202410070005-4</t>
  </si>
  <si>
    <t>HC202410080005-2</t>
  </si>
  <si>
    <t>HG202410080080-1</t>
  </si>
  <si>
    <t>HC202410090003-3</t>
  </si>
  <si>
    <t>HC202410090003-4</t>
  </si>
  <si>
    <t>HC202410090003-5</t>
  </si>
  <si>
    <t>HC202410110002-2</t>
  </si>
  <si>
    <t>HC202410150006-2</t>
  </si>
  <si>
    <t>HC202410160006-1</t>
  </si>
  <si>
    <t>HC202410170001-4</t>
  </si>
  <si>
    <t>HC202410170001-50</t>
  </si>
  <si>
    <t>HC202410180003-3</t>
  </si>
  <si>
    <t>HC202410180003-31</t>
  </si>
  <si>
    <t>HC202410210005-1</t>
  </si>
  <si>
    <t>HC202410220004-4</t>
  </si>
  <si>
    <t>HC202410240002-3</t>
  </si>
  <si>
    <t>HC202410300068-2</t>
  </si>
  <si>
    <t>11310IRS累計校正利息</t>
  </si>
  <si>
    <t>HC202410300068-4</t>
  </si>
  <si>
    <t>HC202410300003-1</t>
  </si>
  <si>
    <t>HC202411060001-1</t>
  </si>
  <si>
    <t>HC202411070001-4</t>
  </si>
  <si>
    <t>HC202411080004-4</t>
  </si>
  <si>
    <t>HC202411080004-27</t>
  </si>
  <si>
    <t>HG202411080014-1</t>
  </si>
  <si>
    <t>永田有限-大亞停車位押金-股務代理部</t>
  </si>
  <si>
    <t>HG202411080004-2</t>
  </si>
  <si>
    <t>HC202411110003-7</t>
  </si>
  <si>
    <t>HC202411110003-46</t>
  </si>
  <si>
    <t>HC202411140002-25</t>
  </si>
  <si>
    <t>HC202411140002-1</t>
  </si>
  <si>
    <t>HC202411150004-2</t>
  </si>
  <si>
    <t>HC202411200001-3</t>
  </si>
  <si>
    <t>HC202411210004-4</t>
  </si>
  <si>
    <t>HC202411220005-4</t>
  </si>
  <si>
    <t>HC202411250004-5</t>
  </si>
  <si>
    <t>HC202411260002-2</t>
  </si>
  <si>
    <t>HC202411290002-2</t>
  </si>
  <si>
    <t>HC202411290002-37</t>
  </si>
  <si>
    <t>HC202411290070-2</t>
  </si>
  <si>
    <t>11311IRS累計校正利息</t>
  </si>
  <si>
    <t>HC202411290070-4</t>
  </si>
  <si>
    <t>HC202412030005-3</t>
  </si>
  <si>
    <t>HC202412040001-2</t>
  </si>
  <si>
    <t>HG202412100021-2</t>
  </si>
  <si>
    <t>HC202412110002-5</t>
  </si>
  <si>
    <t>HC202412110002-26</t>
  </si>
  <si>
    <t>HC202412120002-2</t>
  </si>
  <si>
    <t>HC202412130004-4</t>
  </si>
  <si>
    <t>HC202412160004-7</t>
  </si>
  <si>
    <t>HC202412180004-2</t>
  </si>
  <si>
    <t>HC202412190003-3</t>
  </si>
  <si>
    <t>HC202412190003-4</t>
  </si>
  <si>
    <t>HC202412190003-5</t>
  </si>
  <si>
    <t>HC202412190003-6</t>
  </si>
  <si>
    <t>HC202412190003-7</t>
  </si>
  <si>
    <t>HC202412200004-1</t>
  </si>
  <si>
    <t>HC202412200004-23</t>
  </si>
  <si>
    <t>HC202412230003-4</t>
  </si>
  <si>
    <t>HC202412230003-55</t>
  </si>
  <si>
    <t>HC202412240003-19</t>
  </si>
  <si>
    <t>HC202412240003-2</t>
  </si>
  <si>
    <t>HC202412310001-3</t>
  </si>
  <si>
    <t>HC202412310061-2</t>
  </si>
  <si>
    <t>11312IRS累計校正利息</t>
  </si>
  <si>
    <t>HC202412310061-4</t>
  </si>
  <si>
    <t>HC202501020003-3</t>
  </si>
  <si>
    <t>HC202501030003-3</t>
  </si>
  <si>
    <t>HC202501060003-5</t>
  </si>
  <si>
    <t>HC202501080003-2</t>
  </si>
  <si>
    <t>HC202501090002-3</t>
  </si>
  <si>
    <t>HG202501100003-1</t>
  </si>
  <si>
    <t>HC202501130002-2</t>
  </si>
  <si>
    <t>HC202501140004-2</t>
  </si>
  <si>
    <t>HC202501150003-2</t>
  </si>
  <si>
    <t>HC202501160002-1</t>
  </si>
  <si>
    <t>HC202501170001-4</t>
  </si>
  <si>
    <t>HC202501170001-50</t>
  </si>
  <si>
    <t>HC202501200006-4</t>
  </si>
  <si>
    <t>HC202501200006-57</t>
  </si>
  <si>
    <t>HC202501210002-4</t>
  </si>
  <si>
    <t>HC202501220004-4</t>
  </si>
  <si>
    <t>160952130</t>
  </si>
  <si>
    <t>HC202501220004-30</t>
  </si>
  <si>
    <t>HC202501230001-4</t>
  </si>
  <si>
    <t>HC202501240037-3</t>
  </si>
  <si>
    <t>11401IRS累計校正利息</t>
  </si>
  <si>
    <t>HC202501240037-7</t>
  </si>
  <si>
    <t>HC202501240002-1</t>
  </si>
  <si>
    <t>HC202501240037-2</t>
  </si>
  <si>
    <t>HC202501240037-6</t>
  </si>
  <si>
    <t>HD202502060074-1</t>
  </si>
  <si>
    <t>林伯實-新台豐大樓公共費用週轉金</t>
  </si>
  <si>
    <t>A101556655</t>
  </si>
  <si>
    <t>HC202502060003-1</t>
  </si>
  <si>
    <t>HC202502070002-4</t>
  </si>
  <si>
    <t>HG202502070008-1</t>
  </si>
  <si>
    <t>03559508</t>
  </si>
  <si>
    <t>HC202502080001-4</t>
  </si>
  <si>
    <t>HC202502080001-27</t>
  </si>
  <si>
    <t>HC202502100006-7</t>
  </si>
  <si>
    <t>應收IRS利息</t>
  </si>
  <si>
    <t>HC202502100006-6</t>
  </si>
  <si>
    <t>應付IRS利息</t>
  </si>
  <si>
    <t>HC202502120002-2</t>
  </si>
  <si>
    <t>HC202502140002-25</t>
  </si>
  <si>
    <t>HC202502140002-1</t>
  </si>
  <si>
    <t>HC202502170003-3</t>
  </si>
  <si>
    <t>HC202502180003-4</t>
  </si>
  <si>
    <t>HC202502200002-3</t>
  </si>
  <si>
    <t>HC202502210004-3</t>
  </si>
  <si>
    <t>HC202502240006-4</t>
  </si>
  <si>
    <t>HC202502250006-5</t>
  </si>
  <si>
    <t>HC202502260002-2</t>
  </si>
  <si>
    <t>HC202502270003-4</t>
  </si>
  <si>
    <t>HC202502270003-41</t>
  </si>
  <si>
    <t>HC202502270075-3</t>
  </si>
  <si>
    <t>11402IRS累計校正利息</t>
  </si>
  <si>
    <t>HC202502270075-7</t>
  </si>
  <si>
    <t>HC202502270075-2</t>
  </si>
  <si>
    <t>HC202502270075-6</t>
  </si>
  <si>
    <t>HC202503030005-3</t>
  </si>
  <si>
    <t>HC202503030005-53</t>
  </si>
  <si>
    <t>HC202503040002-3</t>
  </si>
  <si>
    <t>HC202503040002-4</t>
  </si>
  <si>
    <t>HC202503100006-3</t>
  </si>
  <si>
    <t>HG202503100004-1</t>
  </si>
  <si>
    <t>HC202503110004-26</t>
  </si>
  <si>
    <t>HC202503110004-5</t>
  </si>
  <si>
    <t>HC202503120005-3</t>
  </si>
  <si>
    <t>HC202503120005-2</t>
  </si>
  <si>
    <t>HC202503130001-30</t>
  </si>
  <si>
    <t>HC202503130001-4</t>
  </si>
  <si>
    <t>HC202503170004-7</t>
  </si>
  <si>
    <t>HC202503180002-2</t>
  </si>
  <si>
    <t>HC202503190001-3</t>
  </si>
  <si>
    <t>HC202503190001-26</t>
  </si>
  <si>
    <t>HC202503200002-23</t>
  </si>
  <si>
    <t>HC202503200002-1</t>
  </si>
  <si>
    <t>HC202503210004-3</t>
  </si>
  <si>
    <t>A69</t>
  </si>
  <si>
    <t>HC202503210004-32</t>
  </si>
  <si>
    <t>HC202503240004-43</t>
  </si>
  <si>
    <t>HC202503240004-5</t>
  </si>
  <si>
    <t>HC202503310066-3</t>
  </si>
  <si>
    <t>11403IRS累計校正利息</t>
  </si>
  <si>
    <t>HC202503310066-7</t>
  </si>
  <si>
    <t>HC202503310003-4</t>
  </si>
  <si>
    <t>HC202503310066-2</t>
  </si>
  <si>
    <t>HC202503310066-6</t>
  </si>
  <si>
    <t>HC202504010003-4</t>
  </si>
  <si>
    <t>HC202504070003-3</t>
  </si>
  <si>
    <t>HC202504080003-2</t>
  </si>
  <si>
    <t>HC202504090001-3</t>
  </si>
  <si>
    <t>HG202504100010-1</t>
  </si>
  <si>
    <t>HC202504110002-2</t>
  </si>
  <si>
    <t>HC202504140002-2</t>
  </si>
  <si>
    <t>HC202504150005-4</t>
  </si>
  <si>
    <t>HC202504160002-1</t>
  </si>
  <si>
    <t>HC202504170003-2</t>
  </si>
  <si>
    <t>HC202504170003-44</t>
  </si>
  <si>
    <t>HC202504180004-3</t>
  </si>
  <si>
    <t>HC202504180004-31</t>
  </si>
  <si>
    <t>HC202504210002-4</t>
  </si>
  <si>
    <t>HC202504220003-4</t>
  </si>
  <si>
    <t>HC202504220003-30</t>
  </si>
  <si>
    <t>HC202504230003-4</t>
  </si>
  <si>
    <t>HC202504240002-3</t>
  </si>
  <si>
    <t>214159-03</t>
  </si>
  <si>
    <t>其他預收款－其他</t>
  </si>
  <si>
    <t>214159-03</t>
    <phoneticPr fontId="1" type="noConversion"/>
  </si>
  <si>
    <t>其他預收款－其他</t>
    <phoneticPr fontId="1" type="noConversion"/>
  </si>
  <si>
    <t>214159-03其他預收款－其他</t>
  </si>
  <si>
    <t>CW202304080001-2542</t>
  </si>
  <si>
    <t>CW202304080001-2543</t>
  </si>
  <si>
    <t>預收尚德11204股務代理費</t>
  </si>
  <si>
    <t>114172-18</t>
  </si>
  <si>
    <t>其他應收款－其他－租金收入</t>
  </si>
  <si>
    <t>其他應收款－其他－租金收入</t>
    <phoneticPr fontId="1" type="noConversion"/>
  </si>
  <si>
    <t>114172-18其他應收款－其他－租金收入</t>
  </si>
  <si>
    <t>47166852</t>
  </si>
  <si>
    <t>46479103</t>
  </si>
  <si>
    <t>A64</t>
  </si>
  <si>
    <t>HC202504300004-4</t>
  </si>
  <si>
    <t>HC202504300077-2</t>
  </si>
  <si>
    <t>11404IRS累計校正利息</t>
  </si>
  <si>
    <t>HC202504300077-6</t>
  </si>
  <si>
    <t>HC202504300077-3</t>
  </si>
  <si>
    <t>HC202504300077-7</t>
  </si>
  <si>
    <t>HC202505060002-1</t>
  </si>
  <si>
    <t>HC202505070003-2</t>
  </si>
  <si>
    <t>HC202505070003-17</t>
  </si>
  <si>
    <t>HC202505080003-4</t>
  </si>
  <si>
    <t>HC202505080003-27</t>
  </si>
  <si>
    <t>HC202505090005-5</t>
  </si>
  <si>
    <t>HC202505120003-4</t>
  </si>
  <si>
    <t>HC202505120003-40</t>
  </si>
  <si>
    <t>HC202505140002-1</t>
  </si>
  <si>
    <t>HC202505140002-25</t>
  </si>
  <si>
    <t>HC202505150002-2</t>
  </si>
  <si>
    <t>A72</t>
  </si>
  <si>
    <t>HG202505090028-2</t>
  </si>
  <si>
    <t>A70</t>
  </si>
  <si>
    <t>HC202505190003-48</t>
  </si>
  <si>
    <t>HC202505190003-5</t>
  </si>
  <si>
    <t>HC202505200006-3</t>
  </si>
  <si>
    <t>HC202505210001-3</t>
  </si>
  <si>
    <t>HC202505220002-4</t>
  </si>
  <si>
    <t>HC202505230004-2</t>
  </si>
  <si>
    <t>HC202505260003-6</t>
  </si>
  <si>
    <t>114172-08</t>
  </si>
  <si>
    <t>其他應收款－其他－其他</t>
  </si>
  <si>
    <t>其他應收款－其他－其他</t>
    <phoneticPr fontId="1" type="noConversion"/>
  </si>
  <si>
    <t>114172-08其他應收款－其他－其他</t>
  </si>
  <si>
    <t>HG201907250064-381</t>
  </si>
  <si>
    <t>106/07-08營業稅(非專屬--5%)退稅-市政</t>
  </si>
  <si>
    <t>CW202304080001-605</t>
  </si>
  <si>
    <t>10/03 上手股利費-吳信宏</t>
  </si>
  <si>
    <t>CW202304080001-606</t>
  </si>
  <si>
    <t>彭成洲扣款失敗-複委託</t>
  </si>
  <si>
    <t>CW202304080001-607</t>
  </si>
  <si>
    <t>應收上手集保費-侯郁如</t>
  </si>
  <si>
    <t>CW202304080001-608</t>
  </si>
  <si>
    <t>應收上手集保費-盧俊志</t>
  </si>
  <si>
    <t>CW202304080001-609</t>
  </si>
  <si>
    <t>應收上手集保費-蘇楷書</t>
  </si>
  <si>
    <t>CW202304080001-610</t>
  </si>
  <si>
    <t>應收上手集保費-蔡先濠</t>
  </si>
  <si>
    <t>CW202304080001-614</t>
  </si>
  <si>
    <t>應收上手集保費-周忠恕</t>
  </si>
  <si>
    <t>CW202304080001-615</t>
  </si>
  <si>
    <t>應收上手集保費-鍾仁義</t>
  </si>
  <si>
    <t>CW202304080001-616</t>
  </si>
  <si>
    <t>應收上手集保費-張文政</t>
  </si>
  <si>
    <t>CW202304080001-617</t>
  </si>
  <si>
    <t>應收上手集保費-吳柏震</t>
  </si>
  <si>
    <t>CW202304080001-618</t>
  </si>
  <si>
    <t>應收上手集保費-陳振雄</t>
  </si>
  <si>
    <t>CW202304080001-620</t>
  </si>
  <si>
    <t>應收上手集保費-高世賢</t>
  </si>
  <si>
    <t>CW202304080001-621</t>
  </si>
  <si>
    <t>應收上手集保費-何知函</t>
  </si>
  <si>
    <t>CW202304080001-622</t>
  </si>
  <si>
    <t>應收上手集保費-張憲文</t>
  </si>
  <si>
    <t>CW202304080001-623</t>
  </si>
  <si>
    <t>應收上手集保費-周佳瑄</t>
  </si>
  <si>
    <t>CW202304080001-624</t>
  </si>
  <si>
    <t>應收上手集保費-孫東閔</t>
  </si>
  <si>
    <t>CW202304080001-625</t>
  </si>
  <si>
    <t>應收上手集保費-陳榆臻</t>
  </si>
  <si>
    <t>CW202304080001-626</t>
  </si>
  <si>
    <t>應收上手集保費-李傢農</t>
  </si>
  <si>
    <t>CW202304080001-627</t>
  </si>
  <si>
    <t>應收上手集保費-胡夢藹</t>
  </si>
  <si>
    <t>CW202304080001-628</t>
  </si>
  <si>
    <t>應收上手集保費-李杰威</t>
  </si>
  <si>
    <t>CW202304080001-629</t>
  </si>
  <si>
    <t>應收上手集保費-高慧雯</t>
  </si>
  <si>
    <t>CW202304080001-630</t>
  </si>
  <si>
    <t>應收上手集保費-林素蘭</t>
  </si>
  <si>
    <t>CW202304080001-631</t>
  </si>
  <si>
    <t>應收上手集保費-謝幸霓</t>
  </si>
  <si>
    <t>CW202304080001-632</t>
  </si>
  <si>
    <t>應收上手集保費-黃玟瑞</t>
  </si>
  <si>
    <t>CW202304080001-633</t>
  </si>
  <si>
    <t>應收上手集保費-張忠雄</t>
  </si>
  <si>
    <t>CW202304080001-634</t>
  </si>
  <si>
    <t>迴匯差調整</t>
  </si>
  <si>
    <t>CW202304080001-639</t>
  </si>
  <si>
    <t>應收上手集保費-周政宏</t>
  </si>
  <si>
    <t>CW202304080001-641</t>
  </si>
  <si>
    <t>應收上手集保費-邱家菁</t>
  </si>
  <si>
    <t>CW202304080001-642</t>
  </si>
  <si>
    <t>應收上手集保費-李百遵</t>
  </si>
  <si>
    <t>CW202304080001-653</t>
  </si>
  <si>
    <t>4/7上手集保費</t>
  </si>
  <si>
    <t>HG202405310101-3</t>
  </si>
  <si>
    <t>提列113.05 Ardmore Road 2Q24金融商品諮詢服務收入(15,000*32.4)0</t>
  </si>
  <si>
    <t>HG202405310101-5</t>
  </si>
  <si>
    <t>提列113.05 Fenghe Asia 2Q23金融商品諮詢服務收入(49,988*32.4)0B</t>
  </si>
  <si>
    <t>A65</t>
  </si>
  <si>
    <t>HG202502200009-1</t>
  </si>
  <si>
    <t>停車感應卡押金-永康分公司-金三角辦</t>
  </si>
  <si>
    <t>估列應收客戶權益補償</t>
  </si>
  <si>
    <t>114172-18</t>
    <phoneticPr fontId="1" type="noConversion"/>
  </si>
  <si>
    <t>22301178</t>
  </si>
  <si>
    <t>23473992</t>
  </si>
  <si>
    <t>11099726</t>
  </si>
  <si>
    <t>84435578</t>
  </si>
  <si>
    <t>28758321</t>
  </si>
  <si>
    <t>95427878</t>
  </si>
  <si>
    <t>HC202505290006-3</t>
  </si>
  <si>
    <t>HC202505290006-40</t>
  </si>
  <si>
    <t>50960952</t>
  </si>
  <si>
    <t>HC202505290077-2</t>
  </si>
  <si>
    <t>11405IRS累計校正利息</t>
  </si>
  <si>
    <t>HC202505290077-6</t>
  </si>
  <si>
    <t>HC202505290077-3</t>
  </si>
  <si>
    <t>HC202505290077-7</t>
  </si>
  <si>
    <t>HC202506020006-3</t>
  </si>
  <si>
    <t>HC202506020006-44</t>
  </si>
  <si>
    <t>HC202506030003-3</t>
  </si>
  <si>
    <t>HC202506030003-24</t>
  </si>
  <si>
    <t>HC202506040002-20</t>
  </si>
  <si>
    <t>HC202506040002-3</t>
  </si>
  <si>
    <t>114182</t>
  </si>
  <si>
    <t>其他應收款－關係人－其他</t>
  </si>
  <si>
    <t>其他應收款－關係人－其他</t>
    <phoneticPr fontId="1" type="noConversion"/>
  </si>
  <si>
    <t>114182其他應收款－關係人－其他</t>
  </si>
  <si>
    <t>HG202501240006-1</t>
  </si>
  <si>
    <t>提列富邦期貨114/01資訊業務管理維護費</t>
  </si>
  <si>
    <t>22438532</t>
  </si>
  <si>
    <t>70826461</t>
  </si>
  <si>
    <t>HG202502270005-1</t>
  </si>
  <si>
    <t>提列富邦期貨114/02資訊業務管理維護費</t>
  </si>
  <si>
    <t>HG202503310008-1</t>
  </si>
  <si>
    <t>提列富邦期貨114/03資訊業務管理維護費</t>
  </si>
  <si>
    <t>HG202504300005-1</t>
  </si>
  <si>
    <t>提列富邦期貨114/04資訊業務管理維護費</t>
  </si>
  <si>
    <t>27183523</t>
  </si>
  <si>
    <t>HG202505290008-1</t>
  </si>
  <si>
    <t>提列富邦期貨114/05資訊業務管理維護費</t>
  </si>
  <si>
    <t>HC202506090005-4</t>
  </si>
  <si>
    <t>HG202506100007-1</t>
  </si>
  <si>
    <t>臺灣土地銀行富邦二號─內湖大樓5.6樓房屋押金</t>
  </si>
  <si>
    <t>HC202506100003-3</t>
  </si>
  <si>
    <t>HC202506110005-4</t>
  </si>
  <si>
    <t>HC202506110005-29</t>
  </si>
  <si>
    <t>HC202506120002-2</t>
  </si>
  <si>
    <t>HC202506130003-2</t>
  </si>
  <si>
    <t>HC202506130003-28</t>
  </si>
  <si>
    <t>HC202506160003-3</t>
  </si>
  <si>
    <t>HG202506100014-2</t>
  </si>
  <si>
    <t>114172-05</t>
  </si>
  <si>
    <t>其他應收款－其他－借款</t>
  </si>
  <si>
    <t>23751545</t>
  </si>
  <si>
    <t>70762403</t>
  </si>
  <si>
    <t>其他應收款－其他－借款</t>
    <phoneticPr fontId="1" type="noConversion"/>
  </si>
  <si>
    <t>114172-05其他應收款－其他－借款</t>
  </si>
  <si>
    <t>114172-08</t>
    <phoneticPr fontId="1" type="noConversion"/>
  </si>
  <si>
    <t>HC202506180003-2</t>
  </si>
  <si>
    <t>HC202506180003-23</t>
  </si>
  <si>
    <t>HC202506190003-2</t>
  </si>
  <si>
    <t>HC202506190003-23</t>
  </si>
  <si>
    <t>HC202506200003-23</t>
  </si>
  <si>
    <t>HC202506200003-1</t>
  </si>
  <si>
    <t>HC202506230002-4</t>
  </si>
  <si>
    <t>HC202506230002-47</t>
  </si>
  <si>
    <t>HC202506240005-19</t>
  </si>
  <si>
    <t>HC202506240005-2</t>
  </si>
  <si>
    <t>HC202506250002-3</t>
  </si>
  <si>
    <t>HC202506270004-2</t>
  </si>
  <si>
    <t>HC202506270004-28</t>
  </si>
  <si>
    <t>HC202506300004-4</t>
  </si>
  <si>
    <t>HC202506300004-61</t>
  </si>
  <si>
    <t>HG202506300012-1</t>
  </si>
  <si>
    <t>提列富邦期貨114/06資訊業務管理維護費</t>
  </si>
  <si>
    <t>HC202507010003-4</t>
  </si>
  <si>
    <t>HC202507020002-1</t>
  </si>
  <si>
    <t>A56</t>
  </si>
  <si>
    <t>HG202506180002-1</t>
  </si>
  <si>
    <t>北高雄房屋保證金-打鼓岩元亨寺</t>
  </si>
  <si>
    <t>HC202506300062-2</t>
  </si>
  <si>
    <t>11406IRS累計校正利息</t>
  </si>
  <si>
    <t>HC202506300062-6</t>
  </si>
  <si>
    <t>HC202506300062-3</t>
  </si>
  <si>
    <t>HC202506300062-7</t>
  </si>
  <si>
    <t>HC202507030002-3</t>
  </si>
  <si>
    <t>HC202507040006-3</t>
  </si>
  <si>
    <t>HG202507040006-1</t>
  </si>
  <si>
    <t>聯富開發─桃園分公司房屋押租保證金</t>
  </si>
  <si>
    <t>HC202507070001-4</t>
  </si>
  <si>
    <t>HC202507080002-2</t>
  </si>
  <si>
    <t>HC202507090004-3</t>
  </si>
  <si>
    <t>69559487</t>
  </si>
  <si>
    <t>HG202507100002-1</t>
  </si>
  <si>
    <t>HC202507110003-2</t>
  </si>
  <si>
    <t>HC202507140003-2</t>
  </si>
  <si>
    <t>HC202507150003-3</t>
  </si>
  <si>
    <t>114138-14</t>
  </si>
  <si>
    <t>應收帳款－其他－外幣RS利息</t>
  </si>
  <si>
    <t>114138-14</t>
    <phoneticPr fontId="1" type="noConversion"/>
  </si>
  <si>
    <t>應收帳款－其他－外幣RS利息</t>
    <phoneticPr fontId="1" type="noConversion"/>
  </si>
  <si>
    <t>HC202507160002-18</t>
  </si>
  <si>
    <t>HC202507160002-1</t>
  </si>
  <si>
    <t>HC202507170002-2</t>
  </si>
  <si>
    <t>HC202507170002-40</t>
  </si>
  <si>
    <t>楊文智─新營分公司負責人房屋保證金</t>
  </si>
  <si>
    <t>D160008277</t>
  </si>
  <si>
    <t>HC202507180005-3</t>
  </si>
  <si>
    <t>HC202507180005-33</t>
  </si>
  <si>
    <t>HC202507210001-4</t>
  </si>
  <si>
    <t>HC202507220004-4</t>
  </si>
  <si>
    <t>HC202507220004-25</t>
  </si>
  <si>
    <t>HC202507230004-3</t>
  </si>
  <si>
    <t>83423700</t>
  </si>
  <si>
    <t>HC202507240003-3</t>
  </si>
  <si>
    <t>HC202507300002-1</t>
  </si>
  <si>
    <t>HG202507310008-1</t>
  </si>
  <si>
    <t>提列富邦期貨114/07資訊業務管理維護費</t>
  </si>
  <si>
    <t>HG202507310080-3</t>
  </si>
  <si>
    <t>提列2025.07交割結算基金息-櫃檯</t>
  </si>
  <si>
    <t>HE202507280015-1</t>
  </si>
  <si>
    <t>HC202507310061-3</t>
  </si>
  <si>
    <t>11407IRS累計校正利息</t>
  </si>
  <si>
    <t>HC202507310061-7</t>
  </si>
  <si>
    <t>HC202507310061-2</t>
  </si>
  <si>
    <t>HC202507310061-6</t>
  </si>
  <si>
    <t>HC202508050002-1</t>
  </si>
  <si>
    <t>A121420996</t>
  </si>
  <si>
    <t>HG202507250194-21</t>
  </si>
  <si>
    <t>預收宋狄達4/15-5/14租金收入#7818309  4/15華南銀公館</t>
  </si>
  <si>
    <t>HG202507250194-22</t>
  </si>
  <si>
    <t>預收宋狄達5/15-6/14租金收入#7818310  5/15華南銀公館</t>
  </si>
  <si>
    <t>HG202507250194-23</t>
  </si>
  <si>
    <t>預收宋狄達6/15-7/14租金收入#7818311  6/15華南銀公館</t>
  </si>
  <si>
    <t>HG202507250194-24</t>
  </si>
  <si>
    <t>預收宋狄達7/15-8/14租金收入#7818312  7/15華南銀公館</t>
  </si>
  <si>
    <t>HC202508060002-1</t>
  </si>
  <si>
    <t>HC202508070002-2</t>
  </si>
  <si>
    <t>HC202508070002-17</t>
  </si>
  <si>
    <t>HC202508080006-4</t>
  </si>
  <si>
    <t>HC202508080006-33</t>
  </si>
  <si>
    <t>HC202508110005-5</t>
  </si>
  <si>
    <t>HC202508110005-48</t>
  </si>
  <si>
    <t>HC202508120003-2</t>
  </si>
  <si>
    <t>HC202508140005-23</t>
  </si>
  <si>
    <t>HC202508140005-1</t>
  </si>
  <si>
    <t>HC202508150005-1</t>
  </si>
  <si>
    <t>HC202508180004-3</t>
  </si>
  <si>
    <t>HC202508180004-60</t>
  </si>
  <si>
    <t>HC202508190002-2</t>
  </si>
  <si>
    <t>28496495</t>
  </si>
  <si>
    <t>HC202508200003-2</t>
  </si>
  <si>
    <t>HC202508210003-3</t>
  </si>
  <si>
    <t>HC202508220002-4</t>
  </si>
  <si>
    <t>HC202508250004-4</t>
  </si>
  <si>
    <t>HC202508260002-2</t>
  </si>
  <si>
    <t>HC202508260002-17</t>
  </si>
  <si>
    <t>96965874</t>
  </si>
  <si>
    <t>58003997</t>
  </si>
  <si>
    <t>89217452</t>
  </si>
  <si>
    <t>04812016</t>
  </si>
  <si>
    <t>12111733</t>
  </si>
  <si>
    <t>80210632</t>
  </si>
  <si>
    <t>20947969</t>
  </si>
  <si>
    <t>28859051</t>
  </si>
  <si>
    <t>80192260</t>
  </si>
  <si>
    <t>12114393</t>
  </si>
  <si>
    <t>16302558</t>
  </si>
  <si>
    <t>07155339</t>
  </si>
  <si>
    <t>54648808</t>
  </si>
  <si>
    <t>00227087</t>
  </si>
  <si>
    <t>35882520</t>
  </si>
  <si>
    <t>16450993</t>
  </si>
  <si>
    <t>84573516</t>
  </si>
  <si>
    <t>57001161</t>
  </si>
  <si>
    <t>23641822</t>
  </si>
  <si>
    <t>97176270</t>
  </si>
  <si>
    <t>16446274</t>
  </si>
  <si>
    <t>HC202508270003-2</t>
  </si>
  <si>
    <t>HC202508270003-17</t>
  </si>
  <si>
    <t>HC202508290004-3</t>
  </si>
  <si>
    <t>HC202508290004-40</t>
  </si>
  <si>
    <t>70834981</t>
  </si>
  <si>
    <t>HG202508280033-13</t>
  </si>
  <si>
    <t>HG202508280033-23</t>
  </si>
  <si>
    <t>HG202508290043-3</t>
  </si>
  <si>
    <t>提列2025.08交割結算基金息-櫃檯</t>
  </si>
  <si>
    <t>HG202508290005-1</t>
  </si>
  <si>
    <t>提列富邦期貨114/08資訊業務管理維護費</t>
  </si>
  <si>
    <t>HG202508070006-1</t>
  </si>
  <si>
    <t>HG202508080005-1</t>
  </si>
  <si>
    <t>HC202508290076-2</t>
  </si>
  <si>
    <t>11408IRS累計校正利息</t>
  </si>
  <si>
    <t>HC202508290076-6</t>
  </si>
  <si>
    <t>HC202508290076-3</t>
  </si>
  <si>
    <t>HC202508290076-7</t>
  </si>
  <si>
    <t>HC202509020002-2</t>
  </si>
  <si>
    <t>HC202509020002-31</t>
  </si>
  <si>
    <t>HC202509030003-3</t>
  </si>
  <si>
    <t>HC202509030003-26</t>
  </si>
  <si>
    <t>HC202509040002-20</t>
  </si>
  <si>
    <t>HC202509040002-3</t>
  </si>
  <si>
    <t>HC202509080003-8</t>
  </si>
  <si>
    <t>HC202509090005-1</t>
  </si>
  <si>
    <t>HC202509100007-3</t>
  </si>
  <si>
    <t>HC202509110002-4</t>
  </si>
  <si>
    <t>HC202509110002-29</t>
  </si>
  <si>
    <t>22FG</t>
  </si>
  <si>
    <t>HC202509120002-2</t>
  </si>
  <si>
    <t>HC202509150001-7</t>
  </si>
  <si>
    <t>HC202509150001-59</t>
  </si>
  <si>
    <t>HC202509160002-3</t>
  </si>
  <si>
    <t>HC202509160002-32</t>
  </si>
  <si>
    <t>HC202509180003-2</t>
  </si>
  <si>
    <t>HC202509180003-23</t>
  </si>
  <si>
    <t>HC202509190005-2</t>
  </si>
  <si>
    <t>HC202509190005-23</t>
  </si>
  <si>
    <t>HC202509220004-4</t>
  </si>
  <si>
    <t>HC202509220004-51</t>
  </si>
  <si>
    <t>HC202509230004-3</t>
  </si>
  <si>
    <t>HC202509230004-28</t>
  </si>
  <si>
    <t>11846954</t>
  </si>
  <si>
    <t>12262675</t>
  </si>
  <si>
    <t>53622870</t>
  </si>
  <si>
    <t>16205893</t>
  </si>
  <si>
    <t>28468548</t>
  </si>
  <si>
    <t>36525711</t>
  </si>
  <si>
    <t>HG202509300006-1</t>
  </si>
  <si>
    <t>提列富邦期貨114/09資訊業務管理維護費</t>
  </si>
  <si>
    <t>HC202509240005-17</t>
  </si>
  <si>
    <t>HC202509240005-2</t>
  </si>
  <si>
    <t>HC202509250002-3</t>
  </si>
  <si>
    <t>HC202509300003-3</t>
  </si>
  <si>
    <t>HC202509300003-77</t>
  </si>
  <si>
    <t>HG202509300067-3</t>
  </si>
  <si>
    <t>提列2025.09交割結算基金息-櫃檯</t>
  </si>
  <si>
    <t>FB0000175</t>
  </si>
  <si>
    <t>HC202509300084-2</t>
  </si>
  <si>
    <t>11409IRS累計校正利息</t>
  </si>
  <si>
    <t>HC202509300084-6</t>
  </si>
  <si>
    <t>HC202509300084-3</t>
  </si>
  <si>
    <t>HC202509300084-7</t>
  </si>
  <si>
    <t>HC202510010006-5</t>
  </si>
  <si>
    <t>HC202510020004-1</t>
  </si>
  <si>
    <t>HC202510030003-3</t>
  </si>
  <si>
    <t>HC202510070004-5</t>
  </si>
  <si>
    <t>HC202510070004-56</t>
  </si>
  <si>
    <t>HC202510080003-2</t>
  </si>
  <si>
    <t>HC202510090006-3</t>
  </si>
  <si>
    <t>HC202510130004-2</t>
  </si>
  <si>
    <t>HC202510140002-2</t>
  </si>
  <si>
    <t>HC202510150005-3</t>
  </si>
  <si>
    <t>HC202510150005-35</t>
  </si>
  <si>
    <t>52556248</t>
  </si>
  <si>
    <t>48581505</t>
  </si>
  <si>
    <t>82796575</t>
  </si>
  <si>
    <t>010968</t>
  </si>
  <si>
    <t>R123444925</t>
  </si>
  <si>
    <t>HC202510160005-18</t>
  </si>
  <si>
    <t>HC202510160005-1</t>
  </si>
  <si>
    <t>HC202510170002-3</t>
  </si>
  <si>
    <t>HC202510170002-38</t>
  </si>
  <si>
    <t>HC202510200002-3</t>
  </si>
  <si>
    <t>HC202510200002-59</t>
  </si>
  <si>
    <t>24788669</t>
  </si>
  <si>
    <t>16772832</t>
  </si>
  <si>
    <t>04805893</t>
  </si>
  <si>
    <t>HG202510290007-1</t>
  </si>
  <si>
    <t>國泰世華-屏東分公司房屋押租保證金(補</t>
  </si>
  <si>
    <t>HG202510090044-2</t>
  </si>
  <si>
    <t>HC202510210001-34</t>
  </si>
  <si>
    <t>HC202510210001-4</t>
  </si>
  <si>
    <t>HC202510220002-4</t>
  </si>
  <si>
    <t>HC202510220002-25</t>
  </si>
  <si>
    <t>HC202510230003-28</t>
  </si>
  <si>
    <t>HC202510230003-3</t>
  </si>
  <si>
    <t>HC202510270002-3</t>
  </si>
  <si>
    <t>HC202510270002-86</t>
  </si>
  <si>
    <t>HC202510290006-1</t>
  </si>
  <si>
    <t>HC202510300001-1</t>
  </si>
  <si>
    <t>HC202510300001-18</t>
  </si>
  <si>
    <t>HG202510130028-8</t>
  </si>
  <si>
    <t>預收劉鴻瑩115/04月租金收入</t>
  </si>
  <si>
    <t>HG202510130028-9</t>
  </si>
  <si>
    <t>預收劉鴻瑩115/05月租金收入</t>
  </si>
  <si>
    <t>HG202510130028-10</t>
  </si>
  <si>
    <t>預收劉鴻瑩115/06月租金收入</t>
  </si>
  <si>
    <t>HG202510130028-11</t>
  </si>
  <si>
    <t>預收劉鴻瑩115/07月租金收入</t>
  </si>
  <si>
    <t>HG202510130028-12</t>
  </si>
  <si>
    <t>預收劉鴻瑩115/08月租金收入</t>
  </si>
  <si>
    <t>HG202510130028-13</t>
  </si>
  <si>
    <t>預收劉鴻瑩115/09月租金收入</t>
  </si>
  <si>
    <t>010964</t>
  </si>
  <si>
    <t>HG202510010173-1</t>
  </si>
  <si>
    <t>估列應收客戶權益補償-9/26</t>
  </si>
  <si>
    <t>HG202510310049-3</t>
  </si>
  <si>
    <t>提列2025.10交割結算基金息-櫃檯</t>
  </si>
  <si>
    <t>HG202510310066-1</t>
  </si>
  <si>
    <t>提列富邦期貨114/10資訊業務管理維護費</t>
  </si>
  <si>
    <t>HC202510310076-2</t>
  </si>
  <si>
    <t>114010IRS累計校正利息</t>
  </si>
  <si>
    <t>HC202510310076-6</t>
  </si>
  <si>
    <t>HC202510310076-3</t>
  </si>
  <si>
    <t>HC202510310076-7</t>
  </si>
  <si>
    <t>HC202511030004-2</t>
  </si>
  <si>
    <t>HC202511040003-2</t>
  </si>
  <si>
    <t>HC202511050001-1</t>
  </si>
  <si>
    <t>HC202511050001-20</t>
  </si>
  <si>
    <t>HC202511060003-1</t>
  </si>
  <si>
    <t>HC202511070002-2</t>
  </si>
  <si>
    <t>HC202511070002-25</t>
  </si>
  <si>
    <t>HC202511100006-5</t>
  </si>
  <si>
    <t>HC202511100006-54</t>
  </si>
  <si>
    <t>HG202511100032-2</t>
  </si>
  <si>
    <t>HC202511110001-3</t>
  </si>
  <si>
    <t>HC202511120002-21</t>
  </si>
  <si>
    <t>HC202511120002-2</t>
  </si>
  <si>
    <t>HG202511070037-9</t>
  </si>
  <si>
    <t>應收鼎元光電10月份股代收入</t>
  </si>
  <si>
    <t>HG202511070037-61</t>
  </si>
  <si>
    <t>應收柏承科技11月份股代收入</t>
  </si>
  <si>
    <t>53603640</t>
  </si>
  <si>
    <t>HR202511050001-1</t>
  </si>
  <si>
    <t>盧靖勻─與櫃買中心合辦2025海外引資活動</t>
  </si>
  <si>
    <t>007555</t>
  </si>
  <si>
    <t>HR202511260002-1</t>
  </si>
  <si>
    <t>金汶椿─1124-1125Jefferies GEMS借支</t>
  </si>
  <si>
    <t>HG202511180024-5</t>
  </si>
  <si>
    <t>應收客戶權益補償-議價2609</t>
  </si>
  <si>
    <t>HG202511280104-1</t>
  </si>
  <si>
    <t>提列:11月代徵交易稅獎金-營業部</t>
  </si>
  <si>
    <t>HG202511280114-1</t>
  </si>
  <si>
    <t>提列:114/11代徵交易稅獎金-錯帳</t>
  </si>
  <si>
    <t>HG202511280070-3</t>
  </si>
  <si>
    <t>提列2025.11交割結算基金息-櫃檯</t>
  </si>
  <si>
    <t>HG202511280087-1</t>
  </si>
  <si>
    <t>提列富邦期貨114/11資訊業務管理維護費</t>
  </si>
  <si>
    <t>HG202511250103-9</t>
  </si>
  <si>
    <t>鼎元光電代付郵資-10月份</t>
  </si>
  <si>
    <t>HC202511140004-21</t>
  </si>
  <si>
    <t>HC202511140004-1</t>
  </si>
  <si>
    <t>HC202511170002-2</t>
  </si>
  <si>
    <t>HC202511170002-52</t>
  </si>
  <si>
    <t>HC202511180003-33</t>
  </si>
  <si>
    <t>HC202511180003-3</t>
  </si>
  <si>
    <t>HC202511190002-2</t>
  </si>
  <si>
    <t>HC202511200002-2</t>
  </si>
  <si>
    <t>HC202511200002-28</t>
  </si>
  <si>
    <t>HC202511210003-24</t>
  </si>
  <si>
    <t>HC202511210003-3</t>
  </si>
  <si>
    <t>HC202511240001-4</t>
  </si>
  <si>
    <t>HC202511250004-4</t>
  </si>
  <si>
    <t>HC202511250004-36</t>
  </si>
  <si>
    <t>HC202511260004-2</t>
  </si>
  <si>
    <t>HC202511260004-17</t>
  </si>
  <si>
    <t>HC202511270001-2</t>
  </si>
  <si>
    <t>HC202511270001-17</t>
  </si>
  <si>
    <t>HC202511280078-2</t>
  </si>
  <si>
    <t>114011IRS累計校正利息</t>
  </si>
  <si>
    <t>HC202511280078-6</t>
  </si>
  <si>
    <t>HC202511280004-4</t>
  </si>
  <si>
    <t>HC202511280004-45</t>
  </si>
  <si>
    <t>HC202511280078-3</t>
  </si>
  <si>
    <t>HC202511280078-7</t>
  </si>
  <si>
    <t>HC202512020001-2</t>
  </si>
  <si>
    <t>HC202512020001-37</t>
  </si>
  <si>
    <t>HC202512030003-3</t>
  </si>
  <si>
    <t>HC202512030003-26</t>
  </si>
  <si>
    <t>22SA</t>
  </si>
  <si>
    <t>00953B</t>
  </si>
  <si>
    <t>HC202512040003-19</t>
  </si>
  <si>
    <t>HC202512040003-2</t>
  </si>
  <si>
    <t>HC202512080004-8</t>
  </si>
  <si>
    <t>HC202512090003-1</t>
  </si>
  <si>
    <t>HC202512100005-3</t>
  </si>
  <si>
    <t>HC202512100005-28</t>
  </si>
  <si>
    <t>28220737</t>
  </si>
  <si>
    <t>HC202512040044-13</t>
  </si>
  <si>
    <t>114Q4 廣和科技 承銷輔導費(尾款)</t>
  </si>
  <si>
    <t>27389412</t>
  </si>
  <si>
    <t>HG202512040039-75</t>
  </si>
  <si>
    <t>應收鼎元光電11月份股代收入</t>
  </si>
  <si>
    <t>HG202512100027-2</t>
  </si>
  <si>
    <t>HC202512110005-4</t>
  </si>
  <si>
    <t>HC202512110005-31</t>
  </si>
  <si>
    <t>HC202512120003-2</t>
  </si>
  <si>
    <t>HC202512150005-6</t>
  </si>
  <si>
    <t>HC202512150005-50</t>
  </si>
  <si>
    <t>HG202512050050-121</t>
  </si>
  <si>
    <t>應收飛梭精密11月份股代收入</t>
  </si>
  <si>
    <t>HG202512080104-75</t>
  </si>
  <si>
    <t>應收鼎元光電12月份股代收入</t>
  </si>
  <si>
    <t>HG202512080104-185</t>
  </si>
  <si>
    <t>應收宏碁遊戲12月份股代收入</t>
  </si>
  <si>
    <t>HG202512080104-267</t>
  </si>
  <si>
    <t>應收柏承科技12月份股代收入</t>
  </si>
  <si>
    <t>HG202512080104-295</t>
  </si>
  <si>
    <t>69275313</t>
  </si>
  <si>
    <t>HG202512080104-319</t>
  </si>
  <si>
    <t>應收大同精密12月份股代收入</t>
  </si>
  <si>
    <t>12800908</t>
  </si>
  <si>
    <t>HG202512080104-391</t>
  </si>
  <si>
    <t>應收飛梭精密12月份股代收入</t>
  </si>
  <si>
    <t>HG202512080104-443</t>
  </si>
  <si>
    <t>應收群馥科技12月份股代收入</t>
  </si>
  <si>
    <t>HG202512080104-463</t>
  </si>
  <si>
    <t>應收友合生化12月份股代收入</t>
  </si>
  <si>
    <t>HE202512150012-7</t>
  </si>
  <si>
    <t>HE202512150012-3</t>
  </si>
  <si>
    <t>HG202512170005-1</t>
  </si>
  <si>
    <t>上海商業─豐原分公司房屋押租保證金</t>
  </si>
  <si>
    <t>HC202512160001-3</t>
  </si>
  <si>
    <t>HC202512160001-30</t>
  </si>
  <si>
    <t>HC202512180001-2</t>
  </si>
  <si>
    <t>HC202512180001-21</t>
  </si>
  <si>
    <t>HG202512260189-11</t>
  </si>
  <si>
    <t>鼎元光電代付郵資-11月份</t>
  </si>
  <si>
    <t>42761142</t>
  </si>
  <si>
    <t>HC202512190006-2</t>
  </si>
  <si>
    <t>HC202512190006-17</t>
  </si>
  <si>
    <t>HC202601020065-1</t>
  </si>
  <si>
    <t>富喬工業-114年現增案承銷手續費收入</t>
  </si>
  <si>
    <t>16834268</t>
  </si>
  <si>
    <t>HG202601060025-7</t>
  </si>
  <si>
    <t>應收安捷航空01月份股代收入</t>
  </si>
  <si>
    <t>HG202601060025-25</t>
  </si>
  <si>
    <t>應收柏承科技01月份股代收入</t>
  </si>
  <si>
    <t>HG202601060025-37</t>
  </si>
  <si>
    <t>應收大同精密01月份股代收入</t>
  </si>
  <si>
    <t>HG202601060025-39</t>
  </si>
  <si>
    <t>應收逸昌科技01月份股代收入</t>
  </si>
  <si>
    <t>HG202601060025-77</t>
  </si>
  <si>
    <t>應收凱德資本01月份股代收入</t>
  </si>
  <si>
    <t>HG202601060025-85</t>
  </si>
  <si>
    <t>應收群馥科技01月份股代收入</t>
  </si>
  <si>
    <t>HR202601090001-1</t>
  </si>
  <si>
    <t>謝佩君─1/11-1/16泰國PCB參訪團借支</t>
  </si>
  <si>
    <t>005246</t>
  </si>
  <si>
    <t>HR202601130002-1</t>
  </si>
  <si>
    <t>夏詠誼-2026年新春開市祭拜用品</t>
  </si>
  <si>
    <t>000593</t>
  </si>
  <si>
    <t>00772B</t>
  </si>
  <si>
    <t>00773B</t>
  </si>
  <si>
    <t>00948B</t>
  </si>
  <si>
    <t>00981D</t>
  </si>
  <si>
    <t>HG202512310123-1</t>
  </si>
  <si>
    <t>提列:12月代徵交易稅獎金-營業部</t>
  </si>
  <si>
    <t>HG202512310148-4</t>
  </si>
  <si>
    <t>提列:114/12代徵交易稅獎金-錯帳</t>
  </si>
  <si>
    <t>HG202512310070-1</t>
  </si>
  <si>
    <t>提列12月份共同行銷收入-產險</t>
  </si>
  <si>
    <t>HG202512310064-1</t>
  </si>
  <si>
    <t>提列12月份共同行銷收入-人壽</t>
  </si>
  <si>
    <t>HG202512310045-1</t>
  </si>
  <si>
    <t>提列富邦期貨114/12資訊業務管理維護費</t>
  </si>
  <si>
    <t>HE202512160016-18</t>
  </si>
  <si>
    <t>代付複委託客戶配股不足款_114/10/30</t>
  </si>
  <si>
    <t>HG202601020128-1</t>
  </si>
  <si>
    <t>太皇實業─三峽分公司房屋押租保證金</t>
  </si>
  <si>
    <t>HC202512220002-4</t>
  </si>
  <si>
    <t>HC202512220002-49</t>
  </si>
  <si>
    <t>HC202512230005-3</t>
  </si>
  <si>
    <t>HC202512230005-42</t>
  </si>
  <si>
    <t>HC202512240002-2</t>
  </si>
  <si>
    <t>HC202512240051-1</t>
  </si>
  <si>
    <t>HC202512240002-17</t>
  </si>
  <si>
    <t>HC202512260004-3</t>
  </si>
  <si>
    <t>HC202512260004-26</t>
  </si>
  <si>
    <t>HC202512290001-3</t>
  </si>
  <si>
    <t>HC202512290001-48</t>
  </si>
  <si>
    <t>HC202512300002-1</t>
  </si>
  <si>
    <t>HC202512310076-2</t>
  </si>
  <si>
    <t>114012IRS累計校正利息</t>
  </si>
  <si>
    <t>HC202512310076-6</t>
  </si>
  <si>
    <t>HC202512310003-2</t>
  </si>
  <si>
    <t>HC202512310037-1</t>
  </si>
  <si>
    <t>HC202512310076-3</t>
  </si>
  <si>
    <t>HC202512310076-7</t>
  </si>
  <si>
    <t>HC202601020003-4</t>
  </si>
  <si>
    <t>HC202601020003-35</t>
  </si>
  <si>
    <t>HC202601020025-2</t>
  </si>
  <si>
    <t>HC202601050002-2</t>
  </si>
  <si>
    <t>HC202601050002-46</t>
  </si>
  <si>
    <t>HC202601060006-1</t>
  </si>
  <si>
    <t>HC202601070008-3</t>
  </si>
  <si>
    <t>HC202601080003-2</t>
  </si>
  <si>
    <t>HC202601090008-3</t>
  </si>
  <si>
    <t>HC202601120007-2</t>
  </si>
  <si>
    <t>HC202601130004-2</t>
  </si>
  <si>
    <t>HC202601140008-2</t>
  </si>
  <si>
    <t>HC202601070053-4</t>
  </si>
  <si>
    <t>115Q1 成信實業 合規顧問費</t>
  </si>
  <si>
    <t>85031237</t>
  </si>
  <si>
    <t>50997769</t>
  </si>
  <si>
    <t>59244777</t>
  </si>
  <si>
    <t>HG202601080037-5</t>
  </si>
  <si>
    <t>應收嵩達光電12月份股代收入</t>
  </si>
  <si>
    <t>HE202601120011-5</t>
  </si>
  <si>
    <t>HG202601260083-2</t>
  </si>
  <si>
    <t>圓剛科技代付郵資-12月份</t>
  </si>
  <si>
    <t>HG202601260083-17</t>
  </si>
  <si>
    <t>宏璟建設代付郵資-12月份</t>
  </si>
  <si>
    <t>HG202601260083-26</t>
  </si>
  <si>
    <t>勁耘科技代付郵資-12月份</t>
  </si>
  <si>
    <t>HG202601260083-29</t>
  </si>
  <si>
    <t>昱嘉科技代付郵資-12月份</t>
  </si>
  <si>
    <t>54275531</t>
  </si>
  <si>
    <t>16203494</t>
  </si>
  <si>
    <t>89649873</t>
  </si>
  <si>
    <t>HG202601260083-40</t>
  </si>
  <si>
    <t>信音企業代付郵資-12月份</t>
  </si>
  <si>
    <t>12684149</t>
  </si>
  <si>
    <t>HG202601260083-50</t>
  </si>
  <si>
    <t>鄉林建設代付郵資-12月份</t>
  </si>
  <si>
    <t>31306250</t>
  </si>
  <si>
    <t>HG202601260083-55</t>
  </si>
  <si>
    <t>泰創工程代付郵資-12月份</t>
  </si>
  <si>
    <t>HG202601260083-57</t>
  </si>
  <si>
    <t>達盛電子代付郵資-12月份</t>
  </si>
  <si>
    <t>HG202601260083-61</t>
  </si>
  <si>
    <t>三立電視代付郵資-12月份</t>
  </si>
  <si>
    <t>23740512</t>
  </si>
  <si>
    <t>22267777</t>
  </si>
  <si>
    <t>HG202601090031-2</t>
  </si>
  <si>
    <t>HC202601150004-3</t>
  </si>
  <si>
    <t>HC202601150004-35</t>
  </si>
  <si>
    <t>HC202601160004-22</t>
  </si>
  <si>
    <t>HC202601160004-1</t>
  </si>
  <si>
    <t>HC202601190004-3</t>
  </si>
  <si>
    <t>HC202601190004-88</t>
  </si>
  <si>
    <t>HC202601200001-3</t>
  </si>
  <si>
    <t>HC202601200001-24</t>
  </si>
  <si>
    <t>HC202601210004-4</t>
  </si>
  <si>
    <t>HC202601210004-40</t>
  </si>
  <si>
    <t>HC202601220004-4</t>
  </si>
  <si>
    <t>HC202601220004-25</t>
  </si>
  <si>
    <t>HC202601230001-25</t>
  </si>
  <si>
    <t>HC202601230001-2</t>
  </si>
  <si>
    <t>&lt;&lt;114138-04,114140,119010,129030-01,129030-99,214159-03,114172-18,114172-08,114182,114172-05,114138-14,114118</t>
    <phoneticPr fontId="1" type="noConversion"/>
  </si>
  <si>
    <t>114118</t>
  </si>
  <si>
    <t>應收票據－其他</t>
  </si>
  <si>
    <t>應收票據－其他</t>
    <phoneticPr fontId="1" type="noConversion"/>
  </si>
  <si>
    <t>114118應收票據－其他</t>
  </si>
  <si>
    <t>HG202507250194-9</t>
  </si>
  <si>
    <t>HG202507250194-10</t>
  </si>
  <si>
    <t>HG202507250194-11</t>
  </si>
  <si>
    <t>HG202507250194-12</t>
  </si>
  <si>
    <t>89700842</t>
  </si>
  <si>
    <t>01405937</t>
  </si>
  <si>
    <t>70436169</t>
  </si>
  <si>
    <t>應收生物鎵科12月份股代收入</t>
  </si>
  <si>
    <t>IDR</t>
  </si>
  <si>
    <t>A74</t>
  </si>
  <si>
    <t>HG202601210013-1</t>
  </si>
  <si>
    <t>應收睿信電子115/01月份股代收入</t>
  </si>
  <si>
    <t>HE202601300002-1</t>
  </si>
  <si>
    <t>提列115/01複委託基金管理費收入</t>
  </si>
  <si>
    <t>HR202601140001-1</t>
  </si>
  <si>
    <t>楊佩瑾-1/4-1/9美國CES2026參訪團借支</t>
  </si>
  <si>
    <t>010718</t>
  </si>
  <si>
    <t>00740B</t>
  </si>
  <si>
    <t>00741B</t>
  </si>
  <si>
    <t>00890B</t>
  </si>
  <si>
    <t>00933B</t>
  </si>
  <si>
    <t>00937B</t>
  </si>
  <si>
    <t>00945B</t>
  </si>
  <si>
    <t>00958B</t>
  </si>
  <si>
    <t>00982B</t>
  </si>
  <si>
    <t>00982D</t>
  </si>
  <si>
    <t>00983D</t>
  </si>
  <si>
    <t>00981B</t>
  </si>
  <si>
    <t>HG202601300013-1</t>
  </si>
  <si>
    <t>提列富邦期貨115/01資訊業務管理維護費</t>
  </si>
  <si>
    <t>HG202601300013-3</t>
  </si>
  <si>
    <t>提列富邦投顧115/01資訊業務管理維護費</t>
  </si>
  <si>
    <t>HD202601220016-1</t>
  </si>
  <si>
    <t>00BA1</t>
  </si>
  <si>
    <t>東京交易所日股即時報價訂金</t>
  </si>
  <si>
    <t>JPY</t>
  </si>
  <si>
    <t>FB0000494</t>
  </si>
  <si>
    <t>HC202601260004-82</t>
  </si>
  <si>
    <t>HC202601260004-3</t>
  </si>
  <si>
    <t>HC202601270004-1</t>
  </si>
  <si>
    <t>HC202601290002-1</t>
  </si>
  <si>
    <t>HC202601300005-3</t>
  </si>
  <si>
    <t>HC202601300005-24</t>
  </si>
  <si>
    <t>96977203</t>
  </si>
  <si>
    <t>97178158</t>
  </si>
  <si>
    <t>89394750</t>
  </si>
  <si>
    <t>16831831</t>
  </si>
  <si>
    <t>16841958</t>
  </si>
  <si>
    <t>50777287</t>
  </si>
  <si>
    <t>86385124</t>
  </si>
  <si>
    <t>ZAR</t>
  </si>
  <si>
    <t>INR</t>
  </si>
  <si>
    <t>HR202601290001-1</t>
  </si>
  <si>
    <t>王能偉-1/8-1/17參訪美國生技醫療企業借</t>
  </si>
  <si>
    <t>008685</t>
  </si>
  <si>
    <t>HG202601300111-1</t>
  </si>
  <si>
    <t>提列:115/01代徵交易稅獎金-錯帳</t>
  </si>
  <si>
    <t>HG202601300098-1</t>
  </si>
  <si>
    <t>提列:1月代徵交易稅獎金-營業部</t>
  </si>
  <si>
    <t>HG202602030026-3</t>
  </si>
  <si>
    <t>應收114年溢繳薪資扣繳稅款-竹科林昌毅</t>
  </si>
  <si>
    <t>HG202601300017-5</t>
  </si>
  <si>
    <t>提列01月份銀行大公收入(信貸)</t>
  </si>
  <si>
    <t>HG202601300017-3</t>
  </si>
  <si>
    <t>提列01月份銀行大公收入(房貸)</t>
  </si>
  <si>
    <t>HG202601300017-1</t>
  </si>
  <si>
    <t>提列01月份銀行大公收入(信用卡)</t>
  </si>
  <si>
    <t>HG202601300082-3</t>
  </si>
  <si>
    <t>提列2026.01交割結算基金息-櫃檯</t>
  </si>
  <si>
    <t>HG202601300082-1</t>
  </si>
  <si>
    <t>提列2026.01交割結算基金息-集中</t>
  </si>
  <si>
    <t>HG202601300063-1</t>
  </si>
  <si>
    <t>提列01月份共同行銷收入-產險</t>
  </si>
  <si>
    <t>HG202601300060-1</t>
  </si>
  <si>
    <t>提列01月份共同行銷收入-人壽</t>
  </si>
  <si>
    <t>澔揚資產─桃園分公司房屋押租保證金</t>
  </si>
  <si>
    <t>00246628</t>
  </si>
  <si>
    <t>01054257</t>
  </si>
  <si>
    <t>HC202601300039-1</t>
  </si>
  <si>
    <t>期交所抵繳結算保證金-IRS業務_市價</t>
  </si>
  <si>
    <t>HC202601300081-3</t>
  </si>
  <si>
    <t>HC202601300081-7</t>
  </si>
  <si>
    <t>HC202601300081-2</t>
  </si>
  <si>
    <t>HC202601300081-6</t>
  </si>
  <si>
    <t>HC202602020003-3</t>
  </si>
  <si>
    <t>迴轉期交所抵繳結算保證金-IRS業務_市價</t>
  </si>
  <si>
    <t>HC202602040004-2</t>
  </si>
  <si>
    <t>HC202602040004-19</t>
  </si>
  <si>
    <t>HC202602050004-1</t>
  </si>
  <si>
    <t>HC202602050004-20</t>
  </si>
  <si>
    <t>HC202602060002-1</t>
  </si>
  <si>
    <t>HC202602090004-4</t>
  </si>
  <si>
    <t>HC202602090004-62</t>
  </si>
  <si>
    <t>HG202602100004-1</t>
  </si>
  <si>
    <t>HC202602120004-27</t>
  </si>
  <si>
    <t>HC202602120004-2</t>
  </si>
  <si>
    <t>HG202602060146-1</t>
  </si>
  <si>
    <t>應收圓剛科技01月份股代收入</t>
  </si>
  <si>
    <t>HG202602060146-3</t>
  </si>
  <si>
    <t>應收品安科技01月份股代收入</t>
  </si>
  <si>
    <t>HG202602060146-9</t>
  </si>
  <si>
    <t>應收鼎元光電01月份股代收入</t>
  </si>
  <si>
    <t>HG202602060146-11</t>
  </si>
  <si>
    <t>應收鈦思科技01月份股代收入</t>
  </si>
  <si>
    <t>16614834</t>
  </si>
  <si>
    <t>HG202602060146-25</t>
  </si>
  <si>
    <t>應收建德工業01月份股代收入</t>
  </si>
  <si>
    <t>05052033</t>
  </si>
  <si>
    <t>28458345</t>
  </si>
  <si>
    <t>HG202602060146-43</t>
  </si>
  <si>
    <t>12613876</t>
  </si>
  <si>
    <t>HG202602060146-51</t>
  </si>
  <si>
    <t>應收昱嘉科技02月份股代收入</t>
  </si>
  <si>
    <t>HG202602060146-53</t>
  </si>
  <si>
    <t>應收南緯實業02月份股代收入</t>
  </si>
  <si>
    <t>HG202602060146-63</t>
  </si>
  <si>
    <t>應收柏承科技02月份股代收入</t>
  </si>
  <si>
    <t>HG202602060146-67</t>
  </si>
  <si>
    <t>應收幃翔精密02月份股代收入</t>
  </si>
  <si>
    <t>HG202602060146-75</t>
  </si>
  <si>
    <t>應收大同精密02月份股代收入</t>
  </si>
  <si>
    <t>HG202602060146-77</t>
  </si>
  <si>
    <t>應收逸昌科技02月份股代收入</t>
  </si>
  <si>
    <t>HG202602060146-81</t>
  </si>
  <si>
    <t>應收寶緯工業02月份股代收入</t>
  </si>
  <si>
    <t>12854740</t>
  </si>
  <si>
    <t>HG202602060146-109</t>
  </si>
  <si>
    <t>應收宏泰工業02月份股代收入</t>
  </si>
  <si>
    <t>HG202602060146-111</t>
  </si>
  <si>
    <t>應收頂程國際02月份股代收入</t>
  </si>
  <si>
    <t>HG202602060146-115</t>
  </si>
  <si>
    <t>應收凱德資本02月份股代收入</t>
  </si>
  <si>
    <t>HG202602060146-117</t>
  </si>
  <si>
    <t>應收玖鼎電力02月份股代收入</t>
  </si>
  <si>
    <t>HG202602060146-123</t>
  </si>
  <si>
    <t>應收群馥科技02月份股代收入</t>
  </si>
  <si>
    <t>HG202602120019-3</t>
  </si>
  <si>
    <t>應收濱川企業01月份股代收入</t>
  </si>
  <si>
    <t>HG202602120019-7</t>
  </si>
  <si>
    <t>應收立格鋁業01月份股代收入</t>
  </si>
  <si>
    <t>HG202602120019-115</t>
  </si>
  <si>
    <t>應收新晶投資01月份股代收入</t>
  </si>
  <si>
    <t>HG202602120019-117</t>
  </si>
  <si>
    <t>應收八貫企業01月份股代收入</t>
  </si>
  <si>
    <t>HG202602120019-11</t>
  </si>
  <si>
    <t>應收錩新科技01月份股代收入</t>
  </si>
  <si>
    <t>HG202602120019-119</t>
  </si>
  <si>
    <t>應收瓦城泰統01月份股代收入</t>
  </si>
  <si>
    <t>HG202602120019-13</t>
  </si>
  <si>
    <t>應收怡康軟体01月份股代收入</t>
  </si>
  <si>
    <t>16889100</t>
  </si>
  <si>
    <t>52307500</t>
  </si>
  <si>
    <t>HG202602120019-23</t>
  </si>
  <si>
    <t>應收嘉威生活01月份股代收入</t>
  </si>
  <si>
    <t>HG202602120019-131</t>
  </si>
  <si>
    <t>應收宏璟建設01月份股代收入</t>
  </si>
  <si>
    <t>HG202602120019-25</t>
  </si>
  <si>
    <t>應收閎康科技01月份股代收入</t>
  </si>
  <si>
    <t>HG202602120019-33</t>
  </si>
  <si>
    <t>應收泓瀚科技01月份股代收入</t>
  </si>
  <si>
    <t>HG202602120019-39</t>
  </si>
  <si>
    <t>應收祺驊股份01月份股代收入</t>
  </si>
  <si>
    <t>HG202602120019-47</t>
  </si>
  <si>
    <t>應收光鋐科技01月份股代收入</t>
  </si>
  <si>
    <t>38488868</t>
  </si>
  <si>
    <t>HG202602120019-159</t>
  </si>
  <si>
    <t>應收岱宇國際01月份股代收入</t>
  </si>
  <si>
    <t>12547173</t>
  </si>
  <si>
    <t>HG202602120019-55</t>
  </si>
  <si>
    <t>應收輝創電子01月份股代收入</t>
  </si>
  <si>
    <t>27585625</t>
  </si>
  <si>
    <t>12292039</t>
  </si>
  <si>
    <t>97304042</t>
  </si>
  <si>
    <t>HG202602120019-65</t>
  </si>
  <si>
    <t>應收一零四資01月份股代收入</t>
  </si>
  <si>
    <t>07992639</t>
  </si>
  <si>
    <t>05114306</t>
  </si>
  <si>
    <t>12671411</t>
  </si>
  <si>
    <t>HG202602120019-181</t>
  </si>
  <si>
    <t>應收再生緣細胞01月份股代收入</t>
  </si>
  <si>
    <t>12852172</t>
  </si>
  <si>
    <t>53853674</t>
  </si>
  <si>
    <t>HG202602120019-77</t>
  </si>
  <si>
    <t>應收寒舍餐旅01月份股代收入</t>
  </si>
  <si>
    <t>HG202602120019-187</t>
  </si>
  <si>
    <t>應收禾多移動01月份股代收入</t>
  </si>
  <si>
    <t>HG202602120019-85</t>
  </si>
  <si>
    <t>應收嵩達光電01月份股代收入</t>
  </si>
  <si>
    <t>53496938</t>
  </si>
  <si>
    <t>HG202602120019-89</t>
  </si>
  <si>
    <t>應收忠正股份01月份股代收入</t>
  </si>
  <si>
    <t>HG202602120019-91</t>
  </si>
  <si>
    <t>應收亞拓醫療01月份股代收入</t>
  </si>
  <si>
    <t>28724771</t>
  </si>
  <si>
    <t>HG202602120019-207</t>
  </si>
  <si>
    <t>應收勁耘科技01月份股代收入</t>
  </si>
  <si>
    <t>HG202602120019-101</t>
  </si>
  <si>
    <t>應收艾笛森光01月份股代收入</t>
  </si>
  <si>
    <t>42852207</t>
  </si>
  <si>
    <t>53527046</t>
  </si>
  <si>
    <t>HG202602120019-221</t>
  </si>
  <si>
    <t>應收樂居科技01月份股代收入</t>
  </si>
  <si>
    <t>24773315</t>
  </si>
  <si>
    <t>HG202602120019-225</t>
  </si>
  <si>
    <t>應收富宇翔電01月份股代收入</t>
  </si>
  <si>
    <t>66531113</t>
  </si>
  <si>
    <t>90634589</t>
  </si>
  <si>
    <t>HG202602120019-251</t>
  </si>
  <si>
    <t>應收信音企業01月份股代收入</t>
  </si>
  <si>
    <t>HG202602120019-253</t>
  </si>
  <si>
    <t>應收墩豐機械01月份股代收入</t>
  </si>
  <si>
    <t>HG202602120019-257</t>
  </si>
  <si>
    <t>應收銳俤科技01月份股代收入</t>
  </si>
  <si>
    <t>HG202602120019-259</t>
  </si>
  <si>
    <t>應收富泰企業01月份股代收入</t>
  </si>
  <si>
    <t>HG202602120019-265</t>
  </si>
  <si>
    <t>應收時報文化01月份股代收入</t>
  </si>
  <si>
    <t>HG202602120019-267</t>
  </si>
  <si>
    <t>應收鐵研科技01月份股代收入</t>
  </si>
  <si>
    <t>09462684</t>
  </si>
  <si>
    <t>HG202602120019-271</t>
  </si>
  <si>
    <t>應收生物鎵科01月份股代收入</t>
  </si>
  <si>
    <t>43147546</t>
  </si>
  <si>
    <t>HG202602120019-281</t>
  </si>
  <si>
    <t>應收芳泉工業01月份股代收入</t>
  </si>
  <si>
    <t>HG202602120019-285</t>
  </si>
  <si>
    <t>應收達運光電01月份股代收入</t>
  </si>
  <si>
    <t>HG202602120019-287</t>
  </si>
  <si>
    <t>應收西柏科技01月份股代收入</t>
  </si>
  <si>
    <t>HG202602120019-289</t>
  </si>
  <si>
    <t>應收志旭國際01月份股代收入</t>
  </si>
  <si>
    <t>28993894</t>
  </si>
  <si>
    <t>HG202602120019-299</t>
  </si>
  <si>
    <t>應收萊特先進01月份股代收入</t>
  </si>
  <si>
    <t>28091804</t>
  </si>
  <si>
    <t>12676056</t>
  </si>
  <si>
    <t>25132909</t>
  </si>
  <si>
    <t>84149929</t>
  </si>
  <si>
    <t>12611863</t>
  </si>
  <si>
    <t>HG202602120019-313</t>
  </si>
  <si>
    <t>應收欣揚電腦01月份股代收入</t>
  </si>
  <si>
    <t>HG202602120019-317</t>
  </si>
  <si>
    <t>應收友良高科01月份股代收入</t>
  </si>
  <si>
    <t>HG202602120019-319</t>
  </si>
  <si>
    <t>應收鄉林建設01月份股代收入</t>
  </si>
  <si>
    <t>84526079</t>
  </si>
  <si>
    <t>HG202602120019-331</t>
  </si>
  <si>
    <t>應收生控基因01月份股代收入</t>
  </si>
  <si>
    <t>53778660</t>
  </si>
  <si>
    <t>HG202602120019-337</t>
  </si>
  <si>
    <t>應收寶德科技01月份股代收入</t>
  </si>
  <si>
    <t>HG202602120019-341</t>
  </si>
  <si>
    <t>應收飛梭精密01月份股代收入</t>
  </si>
  <si>
    <t>HG202602120019-343</t>
  </si>
  <si>
    <t>應收沛美生醫01月份股代收入</t>
  </si>
  <si>
    <t>28643784</t>
  </si>
  <si>
    <t>HG202602120019-351</t>
  </si>
  <si>
    <t>應收英屬開曼01月份股代收入</t>
  </si>
  <si>
    <t>HG202602120019-353</t>
  </si>
  <si>
    <t>應收乂迪生科01月份股代收入</t>
  </si>
  <si>
    <t>28936959</t>
  </si>
  <si>
    <t>HG202602120019-355</t>
  </si>
  <si>
    <t>54562793</t>
  </si>
  <si>
    <t>HG202602120019-363</t>
  </si>
  <si>
    <t>應收拍檔科技01月份股代收入</t>
  </si>
  <si>
    <t>23622986</t>
  </si>
  <si>
    <t>HG202602120019-365</t>
  </si>
  <si>
    <t>應收達盛電子01月份股代收入</t>
  </si>
  <si>
    <t>54225174</t>
  </si>
  <si>
    <t>61797015</t>
  </si>
  <si>
    <t>HG202602120019-373</t>
  </si>
  <si>
    <t>應收美麗華開01月份股代收入</t>
  </si>
  <si>
    <t>HG202602120019-391</t>
  </si>
  <si>
    <t>應收昱泉國際01月份股代收入</t>
  </si>
  <si>
    <t>HG202602120019-405</t>
  </si>
  <si>
    <t>應收三立電視01月份股代收入</t>
  </si>
  <si>
    <t>84149759</t>
  </si>
  <si>
    <t>HG202602120019-419</t>
  </si>
  <si>
    <t>應收宏捷科技01月份股代收入</t>
  </si>
  <si>
    <t>HG202602120019-423</t>
  </si>
  <si>
    <t>應收友合生化01月份股代收入</t>
  </si>
  <si>
    <t>HE202602260003-1</t>
  </si>
  <si>
    <t>HG202602060146-39</t>
  </si>
  <si>
    <t>應收富邦人壽02月份股代收入</t>
  </si>
  <si>
    <t>89404167</t>
  </si>
  <si>
    <t>27365925</t>
  </si>
  <si>
    <t>04655091</t>
  </si>
  <si>
    <t>HG202602120019-149</t>
  </si>
  <si>
    <t>應收台灣固網01月份股代收入</t>
  </si>
  <si>
    <t>90466437</t>
  </si>
  <si>
    <t>24941093</t>
  </si>
  <si>
    <t>HG202602120019-387</t>
  </si>
  <si>
    <t>應收翔耀實業01月份股代收入</t>
  </si>
  <si>
    <t>12364770</t>
  </si>
  <si>
    <t>HG202602120019-409</t>
  </si>
  <si>
    <t>應收台灣大哥01月份股代收入</t>
  </si>
  <si>
    <t>HR202602250095-1</t>
  </si>
  <si>
    <t>姜光駿-2026年北部登山健行-四獸山</t>
  </si>
  <si>
    <t>HG202602250108-12</t>
  </si>
  <si>
    <t>客戶2/23違約金收入-林志威</t>
  </si>
  <si>
    <t>F133828005</t>
  </si>
  <si>
    <t>HG202602260101-1</t>
  </si>
  <si>
    <t>提列:2月代徵交易稅獎金-營業部</t>
  </si>
  <si>
    <t>HG202602260110-1</t>
  </si>
  <si>
    <t>提列:115/02代徵交易稅獎金-錯帳</t>
  </si>
  <si>
    <t>HG202602260116-1</t>
  </si>
  <si>
    <t>提列115/02 Jefferies佣金(特別服務費)</t>
  </si>
  <si>
    <t>HG202602260008-5</t>
  </si>
  <si>
    <t>提列02月份銀行大公收入(信貸)</t>
  </si>
  <si>
    <t>HG202602260008-1</t>
  </si>
  <si>
    <t>提列02月份銀行大公收入(信用卡)</t>
  </si>
  <si>
    <t>HG202602260008-3</t>
  </si>
  <si>
    <t>提列02月份銀行大公收入(房貸)</t>
  </si>
  <si>
    <t>HG202602260079-3</t>
  </si>
  <si>
    <t>提列2026.02交割結算基金息-櫃檯</t>
  </si>
  <si>
    <t>HG202602260079-1</t>
  </si>
  <si>
    <t>提列2026.02交割結算基金息-集中</t>
  </si>
  <si>
    <t>HG202602260071-3</t>
  </si>
  <si>
    <t>提列富邦投顧115/02資訊業務管理維護費</t>
  </si>
  <si>
    <t>HG202602260032-1</t>
  </si>
  <si>
    <t>提列02月份共同行銷收入-產險</t>
  </si>
  <si>
    <t>HG202602260071-1</t>
  </si>
  <si>
    <t>提列富邦期貨115/02資訊業務管理維護費</t>
  </si>
  <si>
    <t>HG202602260038-1</t>
  </si>
  <si>
    <t>提列02月份共同行銷收入-人壽</t>
  </si>
  <si>
    <t>HE202602090027-5</t>
  </si>
  <si>
    <t>24229309</t>
  </si>
  <si>
    <t>台北富邦銀行-港都分公司房屋押租保證金</t>
  </si>
  <si>
    <t>HG202602240096-1</t>
  </si>
  <si>
    <t>土銀富邦二號-內湖大樓2樓房屋押金</t>
  </si>
  <si>
    <t>HG202603030005-1</t>
  </si>
  <si>
    <t>HC202602030010-1</t>
  </si>
  <si>
    <t>2/3期交所IRS結算保證金存入</t>
  </si>
  <si>
    <t>HC202602100004-1</t>
  </si>
  <si>
    <t>HC202602100004-22</t>
  </si>
  <si>
    <t>HC202602110006-3</t>
  </si>
  <si>
    <t>HG202602110013-1</t>
  </si>
  <si>
    <t>HC202602130029-3</t>
  </si>
  <si>
    <t>HC202602130029-20</t>
  </si>
  <si>
    <t>HC202602230004-4</t>
  </si>
  <si>
    <t>HC202602240004-1</t>
  </si>
  <si>
    <t>HC202602240002-1</t>
  </si>
  <si>
    <t>HC202602250001-28</t>
  </si>
  <si>
    <t>HC202602250001-3</t>
  </si>
  <si>
    <t>HC202602260004-5</t>
  </si>
  <si>
    <t>HC202602260004-70</t>
  </si>
  <si>
    <t>HC202602260072-6</t>
  </si>
  <si>
    <t>11502IRS累計校正利息</t>
  </si>
  <si>
    <t>HC202602260072-2</t>
  </si>
  <si>
    <t>HC202602260022-1</t>
  </si>
  <si>
    <t>HC202602260043-1</t>
  </si>
  <si>
    <t>調整應付IRS息</t>
  </si>
  <si>
    <t>HC202602260072-3</t>
  </si>
  <si>
    <t>HC202602260072-7</t>
  </si>
  <si>
    <t>HC202603020003-50</t>
  </si>
  <si>
    <t>HC202603020003-3</t>
  </si>
  <si>
    <t>HC202603030001-26</t>
  </si>
  <si>
    <t>HC202603030001-3</t>
  </si>
  <si>
    <t>HC202603040049-19</t>
  </si>
  <si>
    <t>HC202603040049-2</t>
  </si>
  <si>
    <t>HC202603050014-2</t>
  </si>
  <si>
    <t>HC202603060005-6</t>
  </si>
  <si>
    <t>HC202603090001-57</t>
  </si>
  <si>
    <t>HC202603090001-4</t>
  </si>
  <si>
    <t>HE202603030029-20</t>
  </si>
  <si>
    <t>03/02複委託富邦手續費HKCNCJS2</t>
  </si>
  <si>
    <t>HE202603040013-25</t>
  </si>
  <si>
    <t>03/02複委託富邦手續費BTFR</t>
  </si>
  <si>
    <t>HE202603040013-99</t>
  </si>
  <si>
    <t>03/02複委託富邦手續費BTSP</t>
  </si>
  <si>
    <t>HE202603050003-4</t>
  </si>
  <si>
    <t>03/02複委託富邦手續費BTTH</t>
  </si>
  <si>
    <t>THB</t>
  </si>
  <si>
    <t>HC202603100004-28</t>
  </si>
  <si>
    <t>HC202603100004-3</t>
  </si>
  <si>
    <t>HE202603050019-26</t>
  </si>
  <si>
    <t>03/04複委託富邦手續費HKCNCJS2</t>
  </si>
  <si>
    <t>HE202603050019-30</t>
  </si>
  <si>
    <t>03/04複委託富邦手續費HKCNCJZ2</t>
  </si>
  <si>
    <t>HE202603050018-77</t>
  </si>
  <si>
    <t>03/03複委託富邦手續費BTKR</t>
  </si>
  <si>
    <t>HC202603050057-4</t>
  </si>
  <si>
    <t>115Q1 寶晶能源 承銷輔導費</t>
  </si>
  <si>
    <t>50791838</t>
  </si>
  <si>
    <t>HG202603050052-1</t>
  </si>
  <si>
    <t>應收圓剛科技02月份股代收入</t>
  </si>
  <si>
    <t>HC202603050057-5</t>
  </si>
  <si>
    <t>115Q1 全科綜電 承銷輔導費</t>
  </si>
  <si>
    <t>HG202603050052-3</t>
  </si>
  <si>
    <t>應收品安科技02月份股代收入</t>
  </si>
  <si>
    <t>HG202603050052-5</t>
  </si>
  <si>
    <t>應收世豐螺絲02月份股代收入</t>
  </si>
  <si>
    <t>HC202603050057-7</t>
  </si>
  <si>
    <t>115Q1 亞果生醫 承銷輔導費</t>
  </si>
  <si>
    <t>54562029</t>
  </si>
  <si>
    <t>HG202603050052-7</t>
  </si>
  <si>
    <t>應收鈺緯科技02月份股代收入</t>
  </si>
  <si>
    <t>HC202603050057-8</t>
  </si>
  <si>
    <t>115Q1 燁鋒輕合金 承銷輔導費</t>
  </si>
  <si>
    <t>HG202603050052-9</t>
  </si>
  <si>
    <t>應收鼎元光電02月份股代收入</t>
  </si>
  <si>
    <t>HC202603050057-9</t>
  </si>
  <si>
    <t>115Q1 大數據 承銷輔導費</t>
  </si>
  <si>
    <t>54837596</t>
  </si>
  <si>
    <t>HG202603050052-11</t>
  </si>
  <si>
    <t>應收鈦思科技02月份股代收入</t>
  </si>
  <si>
    <t>HG202603050052-13</t>
  </si>
  <si>
    <t>應收科治新技02月份股代收入</t>
  </si>
  <si>
    <t>HG202603050052-15</t>
  </si>
  <si>
    <t>應收秀波電子02月份股代收入</t>
  </si>
  <si>
    <t>HC202603050057-12</t>
  </si>
  <si>
    <t>115Q1 廣和科技 承銷輔導費</t>
  </si>
  <si>
    <t>HG202603050052-17</t>
  </si>
  <si>
    <t>應收秀懋股份02月份股代收入</t>
  </si>
  <si>
    <t>HC202603050057-13</t>
  </si>
  <si>
    <t>115Q1 盛新材料科技 承銷輔導費</t>
  </si>
  <si>
    <t>HG202603050052-19</t>
  </si>
  <si>
    <t>應收秀越實業02月份股代收入</t>
  </si>
  <si>
    <t>HC202603050057-14</t>
  </si>
  <si>
    <t>115Q1 美商沃彌台灣分公司 承銷輔導費</t>
  </si>
  <si>
    <t>90078181</t>
  </si>
  <si>
    <t>HG202603050052-21</t>
  </si>
  <si>
    <t>應收新秀波磁02月份股代收入</t>
  </si>
  <si>
    <t>81372254</t>
  </si>
  <si>
    <t>HG202603050052-25</t>
  </si>
  <si>
    <t>應收建德工業02月份股代收入</t>
  </si>
  <si>
    <t>HG202603050052-27</t>
  </si>
  <si>
    <t>應收穩得實業02月份股代收入</t>
  </si>
  <si>
    <t>HC202603050058-1</t>
  </si>
  <si>
    <t>成信實業-114年度現金增資案普通股承銷手續費收入</t>
  </si>
  <si>
    <t>HG202603050052-29</t>
  </si>
  <si>
    <t>應收龍巖股份02月份股代收入</t>
  </si>
  <si>
    <t>HG202603050052-41</t>
  </si>
  <si>
    <t>應收台灣氣立03月份股代收入</t>
  </si>
  <si>
    <t>HG202603050052-31</t>
  </si>
  <si>
    <t>應收欣崴國際02月份股代收入</t>
  </si>
  <si>
    <t>HG202603050052-43</t>
  </si>
  <si>
    <t>應收安捷航空03月份股代收入</t>
  </si>
  <si>
    <t>HG202603050052-33</t>
  </si>
  <si>
    <t>應收宇錡建設02月份股代收入</t>
  </si>
  <si>
    <t>33653494</t>
  </si>
  <si>
    <t>HG202603050052-47</t>
  </si>
  <si>
    <t>應收巨漢系統03月份股代收入</t>
  </si>
  <si>
    <t>HG202603050052-51</t>
  </si>
  <si>
    <t>應收昱嘉科技03月份股代收入</t>
  </si>
  <si>
    <t>HG202603050052-55</t>
  </si>
  <si>
    <t>應收日馳企業03月份股代收入</t>
  </si>
  <si>
    <t>HG202603050052-57</t>
  </si>
  <si>
    <t>應收台灣富綢03月份股代收入</t>
  </si>
  <si>
    <t>04415781</t>
  </si>
  <si>
    <t>HG202603050052-61</t>
  </si>
  <si>
    <t>應收東聯光訊03月份股代收入</t>
  </si>
  <si>
    <t>HG202603050052-63</t>
  </si>
  <si>
    <t>應收柏承科技03月份股代收入</t>
  </si>
  <si>
    <t>04465521</t>
  </si>
  <si>
    <t>HG202603050052-67</t>
  </si>
  <si>
    <t>應收幃翔精密03月份股代收入</t>
  </si>
  <si>
    <t>HG202603050052-69</t>
  </si>
  <si>
    <t>應收星雲電腦03月份股代收入</t>
  </si>
  <si>
    <t>HG202603050052-73</t>
  </si>
  <si>
    <t>應收瑞安大藥03月份股代收入</t>
  </si>
  <si>
    <t>HG202603050052-75</t>
  </si>
  <si>
    <t>應收大同精密03月份股代收入</t>
  </si>
  <si>
    <t>HG202603050052-77</t>
  </si>
  <si>
    <t>應收逸昌科技03月份股代收入</t>
  </si>
  <si>
    <t>HG202603050052-79</t>
  </si>
  <si>
    <t>應收大同半導03月份股代收入</t>
  </si>
  <si>
    <t>HG202603050052-81</t>
  </si>
  <si>
    <t>應收寶緯工業03月份股代收入</t>
  </si>
  <si>
    <t>HG202603050052-83</t>
  </si>
  <si>
    <t>應收台通光電03月份股代收入</t>
  </si>
  <si>
    <t>HG202603050052-85</t>
  </si>
  <si>
    <t>應收新天地國03月份股代收入</t>
  </si>
  <si>
    <t>HG202603050052-87</t>
  </si>
  <si>
    <t>應收銳捷科技03月份股代收入</t>
  </si>
  <si>
    <t>HG202603050052-89</t>
  </si>
  <si>
    <t>應收達欣工程03月份股代收入</t>
  </si>
  <si>
    <t>HG202603050052-91</t>
  </si>
  <si>
    <t>應收中良工業03月份股代收入</t>
  </si>
  <si>
    <t>HG202603050052-95</t>
  </si>
  <si>
    <t>應收百德機械03月份股代收入</t>
  </si>
  <si>
    <t>HG202603050052-97</t>
  </si>
  <si>
    <t>應收欣普羅光03月份股代收入</t>
  </si>
  <si>
    <t>HG202603050052-99</t>
  </si>
  <si>
    <t>應收台灣粒線03月份股代收入</t>
  </si>
  <si>
    <t>HG202603050052-101</t>
  </si>
  <si>
    <t>應收研晶光電03月份股代收入</t>
  </si>
  <si>
    <t>HG202603050052-103</t>
  </si>
  <si>
    <t>應收聯勝光電03月份股代收入</t>
  </si>
  <si>
    <t>HG202603050052-105</t>
  </si>
  <si>
    <t>應收順泰電子03月份股代收入</t>
  </si>
  <si>
    <t>HG202603050052-107</t>
  </si>
  <si>
    <t>應收歐思佛生03月份股代收入</t>
  </si>
  <si>
    <t>HG202603050052-109</t>
  </si>
  <si>
    <t>應收宏泰工業03月份股代收入</t>
  </si>
  <si>
    <t>HG202603050052-111</t>
  </si>
  <si>
    <t>應收頂程國際03月份股代收入</t>
  </si>
  <si>
    <t>HG202603050052-113</t>
  </si>
  <si>
    <t>應收旭東機械03月份股代收入</t>
  </si>
  <si>
    <t>HG202603050052-115</t>
  </si>
  <si>
    <t>應收凱德資本03月份股代收入</t>
  </si>
  <si>
    <t>HG202603050052-117</t>
  </si>
  <si>
    <t>應收玖鼎電力03月份股代收入</t>
  </si>
  <si>
    <t>HG202603050052-119</t>
  </si>
  <si>
    <t>應收國泰一號03月份股代收入</t>
  </si>
  <si>
    <t>48798595</t>
  </si>
  <si>
    <t>HG202603050052-123</t>
  </si>
  <si>
    <t>應收群馥科技03月份股代收入</t>
  </si>
  <si>
    <t>HG202603050052-125</t>
  </si>
  <si>
    <t>應收聯鈞光電03月份股代收入</t>
  </si>
  <si>
    <t>HC202603050057-1</t>
  </si>
  <si>
    <t>115/03 三地能源 承銷輔導費</t>
  </si>
  <si>
    <t>HC202603050057-2</t>
  </si>
  <si>
    <t>115Q1 萬里雲互聯 承銷輔導費</t>
  </si>
  <si>
    <t>56710003</t>
  </si>
  <si>
    <t>HC202603050057-3</t>
  </si>
  <si>
    <t>115Q1 達亞帆布(上海) 承銷輔導費</t>
  </si>
  <si>
    <t>030302-A3</t>
  </si>
  <si>
    <t>HE202603060051-22</t>
  </si>
  <si>
    <t>03/05複委託富邦手續費HKCNCJS2</t>
  </si>
  <si>
    <t>HE202603060051-27</t>
  </si>
  <si>
    <t>03/05複委託富邦手續費HKCNCJZ2</t>
  </si>
  <si>
    <t>HE202603060013-109</t>
  </si>
  <si>
    <t>03/04複委託富邦手續費BTSP</t>
  </si>
  <si>
    <t>HE202603060013-11</t>
  </si>
  <si>
    <t>03/04複委託富邦手續費BTFR</t>
  </si>
  <si>
    <t>HE202603060051-46</t>
  </si>
  <si>
    <t>03/05複委託富邦手續費BTIN</t>
  </si>
  <si>
    <t>HE202603060013-77</t>
  </si>
  <si>
    <t>03/04複委託富邦手續費BTKR</t>
  </si>
  <si>
    <t>HE202603090023-12</t>
  </si>
  <si>
    <t>03/05複委託富邦手續費BZ  BTBZ</t>
  </si>
  <si>
    <t>BRL</t>
  </si>
  <si>
    <t>HE202603090039-16</t>
  </si>
  <si>
    <t>03/06複委託富邦手續費HKCNCJS2</t>
  </si>
  <si>
    <t>HE202603090039-20</t>
  </si>
  <si>
    <t>03/06複委託富邦手續費HKCNCJZ2</t>
  </si>
  <si>
    <t>HE202603090023-73</t>
  </si>
  <si>
    <t>03/05複委託富邦手續費BTKR</t>
  </si>
  <si>
    <t>HG202603090040-1</t>
  </si>
  <si>
    <t>應收法商東方匯理銀行01月份債券代理費收入</t>
  </si>
  <si>
    <t>22766133</t>
  </si>
  <si>
    <t>HG202603090040-3</t>
  </si>
  <si>
    <t>應收法商東方匯理銀行02月份債券代理費收入</t>
  </si>
  <si>
    <t>HC202603100055-1</t>
  </si>
  <si>
    <t>三集瑞-KY-境內第一次無擔保轉換公司債案承銷手續費收入</t>
  </si>
  <si>
    <t>91363753</t>
  </si>
  <si>
    <t>HG202603050052-39</t>
  </si>
  <si>
    <t>應收富邦人壽03月份股代收入</t>
  </si>
  <si>
    <t>85509007</t>
  </si>
  <si>
    <t>50202001</t>
  </si>
  <si>
    <t>93305908</t>
  </si>
  <si>
    <t>23220575</t>
  </si>
  <si>
    <t>HG202603060087-11</t>
  </si>
  <si>
    <t>應收竹北02月場租收入－渣打竹北</t>
  </si>
  <si>
    <t>HG202603060087-13</t>
  </si>
  <si>
    <t>應收中壢02月場租收入－渣打國際</t>
  </si>
  <si>
    <t>64538301</t>
  </si>
  <si>
    <t>64960567</t>
  </si>
  <si>
    <t>63872101</t>
  </si>
  <si>
    <t>51817300</t>
  </si>
  <si>
    <t>70816631</t>
  </si>
  <si>
    <t>70818666</t>
  </si>
  <si>
    <t>HG202603060087-29</t>
  </si>
  <si>
    <t>應收豐原02月場租收入－上海豐原</t>
  </si>
  <si>
    <t>16439105</t>
  </si>
  <si>
    <t>33421903</t>
  </si>
  <si>
    <t>33015503</t>
  </si>
  <si>
    <t>70797634</t>
  </si>
  <si>
    <t>94186401</t>
  </si>
  <si>
    <t>94174806</t>
  </si>
  <si>
    <t>HC202603020066-2</t>
  </si>
  <si>
    <t>HC202603020066-1</t>
  </si>
  <si>
    <t>HC202603110003-3</t>
  </si>
  <si>
    <t>HC202603110003-28</t>
  </si>
  <si>
    <t>HC202603120005-27</t>
  </si>
  <si>
    <t>HC202603120005-2</t>
  </si>
  <si>
    <t>2026/004</t>
    <phoneticPr fontId="1" type="noConversion"/>
  </si>
  <si>
    <t>HG202603310127-2</t>
  </si>
  <si>
    <t>3月底其他預收 -其他調整</t>
  </si>
  <si>
    <t>HG202604010110-1</t>
  </si>
  <si>
    <t>迴轉3月底其他預收 -其他調整</t>
  </si>
  <si>
    <t>應收安捷航空02月份股代收入</t>
  </si>
  <si>
    <t>應收冠亞生技01月份股代收入</t>
  </si>
  <si>
    <t>HE202603100019-4</t>
  </si>
  <si>
    <t>03/06複委託富邦手續費BTFR</t>
  </si>
  <si>
    <t>HE202603100019-64</t>
  </si>
  <si>
    <t>03/06複委託富邦手續費BTKR</t>
  </si>
  <si>
    <t>HE202603110031-23</t>
  </si>
  <si>
    <t>03/10複委託富邦手續費HKCNCJS2</t>
  </si>
  <si>
    <t>HE202603110031-27</t>
  </si>
  <si>
    <t>03/10複委託富邦手續費HKCNCJZ2</t>
  </si>
  <si>
    <t>HE202603110009-66</t>
  </si>
  <si>
    <t>03/09複委託富邦手續費BTKR</t>
  </si>
  <si>
    <t>HE202603120041-17</t>
  </si>
  <si>
    <t>03/11複委託富邦手續費HKCNCJS2</t>
  </si>
  <si>
    <t>HE202603120041-21</t>
  </si>
  <si>
    <t>03/11複委託富邦手續費HKCNCJZ2</t>
  </si>
  <si>
    <t>HE202603120012-4</t>
  </si>
  <si>
    <t>03/10複委託富邦手續費BTFR</t>
  </si>
  <si>
    <t>HE202603120012-71</t>
  </si>
  <si>
    <t>03/10複委託富邦手續費BTKR</t>
  </si>
  <si>
    <t>HE202603130022-8</t>
  </si>
  <si>
    <t>03/11複委託富邦手續費BZ  BTBZ</t>
  </si>
  <si>
    <t>HE202603130022-16</t>
  </si>
  <si>
    <t>03/11複委託富邦手續費BTFR</t>
  </si>
  <si>
    <t>HE202603130022-58</t>
  </si>
  <si>
    <t>03/11複委託富邦手續費BTIT</t>
  </si>
  <si>
    <t>HE202603130022-81</t>
  </si>
  <si>
    <t>03/11複委託富邦手續費BTKR</t>
  </si>
  <si>
    <t>HG202603130062-345</t>
  </si>
  <si>
    <t>應收沛美生醫02月份股代收入</t>
  </si>
  <si>
    <t>HC202603130052-1</t>
  </si>
  <si>
    <t>亞通利大能源-114年現金增資案管理報酬及承銷手續費收入</t>
  </si>
  <si>
    <t>89491275</t>
  </si>
  <si>
    <t>HG202603130062-349</t>
  </si>
  <si>
    <t>應收首立企業02月份股代收入</t>
  </si>
  <si>
    <t>HG202603130062-1</t>
  </si>
  <si>
    <t>應收豪展醫療02月份股代收入</t>
  </si>
  <si>
    <t>HG202603130062-353</t>
  </si>
  <si>
    <t>應收乂迪生科02月份股代收入</t>
  </si>
  <si>
    <t>HG202603130062-3</t>
  </si>
  <si>
    <t>應收濱川企業02月份股代收入</t>
  </si>
  <si>
    <t>HG202603130062-355</t>
  </si>
  <si>
    <t>應收冠亞生技02月份股代收入</t>
  </si>
  <si>
    <t>HG202603130062-5</t>
  </si>
  <si>
    <t>應收弘裕企業02月份股代收入</t>
  </si>
  <si>
    <t>HG202603130062-357</t>
  </si>
  <si>
    <t>應收發條橘子02月份股代收入</t>
  </si>
  <si>
    <t>HG202603130062-7</t>
  </si>
  <si>
    <t>應收立格鋁業02月份股代收入</t>
  </si>
  <si>
    <t>HG202603130062-359</t>
  </si>
  <si>
    <t>應收泰創工程02月份股代收入</t>
  </si>
  <si>
    <t>HG202603130062-11</t>
  </si>
  <si>
    <t>應收錩新科技02月份股代收入</t>
  </si>
  <si>
    <t>HG202603130062-361</t>
  </si>
  <si>
    <t>應收好食股份02月份股代收入</t>
  </si>
  <si>
    <t>HG202603130062-13</t>
  </si>
  <si>
    <t>應收怡康軟体02月份股代收入</t>
  </si>
  <si>
    <t>HG202603130062-363</t>
  </si>
  <si>
    <t>應收拍檔科技02月份股代收入</t>
  </si>
  <si>
    <t>HG202603130062-17</t>
  </si>
  <si>
    <t>應收長裕欣業02月份股代收入</t>
  </si>
  <si>
    <t>HG202603130062-365</t>
  </si>
  <si>
    <t>應收達盛電子02月份股代收入</t>
  </si>
  <si>
    <t>HG202603130062-19</t>
  </si>
  <si>
    <t>應收博磊科技02月份股代收入</t>
  </si>
  <si>
    <t>HG202603130062-369</t>
  </si>
  <si>
    <t>應收戴爾美語02月份股代收入</t>
  </si>
  <si>
    <t>HG202603130062-21</t>
  </si>
  <si>
    <t>應收實盈股份02月份股代收入</t>
  </si>
  <si>
    <t>HG202603130062-371</t>
  </si>
  <si>
    <t>應收雲程在線02月份股代收入</t>
  </si>
  <si>
    <t>HG202603130062-23</t>
  </si>
  <si>
    <t>應收嘉威生活02月份股代收入</t>
  </si>
  <si>
    <t>HG202603130062-373</t>
  </si>
  <si>
    <t>應收美麗華開02月份股代收入</t>
  </si>
  <si>
    <t>HG202603130062-25</t>
  </si>
  <si>
    <t>應收閎康科技02月份股代收入</t>
  </si>
  <si>
    <t>HG202603130062-375</t>
  </si>
  <si>
    <t>應收金嘉隆企02月份股代收入</t>
  </si>
  <si>
    <t>HG202603130062-31</t>
  </si>
  <si>
    <t>應收盈正豫順02月份股代收入</t>
  </si>
  <si>
    <t>HG202603130062-377</t>
  </si>
  <si>
    <t>應收盛新材料02月份股代收入</t>
  </si>
  <si>
    <t>HG202603130062-33</t>
  </si>
  <si>
    <t>應收泓瀚科技02月份股代收入</t>
  </si>
  <si>
    <t>HG202603130062-385</t>
  </si>
  <si>
    <t>應收元大商業02月份股代收入</t>
  </si>
  <si>
    <t>HG202603130062-39</t>
  </si>
  <si>
    <t>應收祺驊股份02月份股代收入</t>
  </si>
  <si>
    <t>HG202603130062-389</t>
  </si>
  <si>
    <t>應收昱泉國際02月份股代收入</t>
  </si>
  <si>
    <t>HG202603130062-41</t>
  </si>
  <si>
    <t>應收科嶠工業02月份股代收入</t>
  </si>
  <si>
    <t>HG202603130062-401</t>
  </si>
  <si>
    <t>應收撼訊科技02月份股代收入</t>
  </si>
  <si>
    <t>HG202603130062-47</t>
  </si>
  <si>
    <t>應收光鋐科技02月份股代收入</t>
  </si>
  <si>
    <t>HG202603130062-403</t>
  </si>
  <si>
    <t>應收三立電視02月份股代收入</t>
  </si>
  <si>
    <t>HG202603130062-49</t>
  </si>
  <si>
    <t>應收麗豐股份(英屬維京)02月份股代收入</t>
  </si>
  <si>
    <t>HG202603130062-405</t>
  </si>
  <si>
    <t>應收豐賓電子02月份股代收入</t>
  </si>
  <si>
    <t>HG202603130062-51</t>
  </si>
  <si>
    <t>應收鴻威光電02月份股代收入</t>
  </si>
  <si>
    <t>HG202603130062-411</t>
  </si>
  <si>
    <t>應收聯傑國際02月份股代收入</t>
  </si>
  <si>
    <t>HG202603130062-53</t>
  </si>
  <si>
    <t>應收弘帆股份02月份股代收入</t>
  </si>
  <si>
    <t>HG202603130062-413</t>
  </si>
  <si>
    <t>應收倚碩科技02月份股代收入</t>
  </si>
  <si>
    <t>16759388</t>
  </si>
  <si>
    <t>HG202603130062-55</t>
  </si>
  <si>
    <t>應收輝創電子02月份股代收入</t>
  </si>
  <si>
    <t>HG202603130062-415</t>
  </si>
  <si>
    <t>應收程曦資訊02月份股代收入</t>
  </si>
  <si>
    <t>HG202603130062-57</t>
  </si>
  <si>
    <t>應收資拓宏宇02月份股代收入</t>
  </si>
  <si>
    <t>HG202603130062-417</t>
  </si>
  <si>
    <t>應收大統新創02月份股代收入</t>
  </si>
  <si>
    <t>HG202603130062-59</t>
  </si>
  <si>
    <t>應收杏一醫療02月份股代收入</t>
  </si>
  <si>
    <t>HG202603130062-419</t>
  </si>
  <si>
    <t>應收宏捷科技02月份股代收入</t>
  </si>
  <si>
    <t>HG202603130062-63</t>
  </si>
  <si>
    <t>應收大江生醫02月份股代收入</t>
  </si>
  <si>
    <t>HG202603130062-423</t>
  </si>
  <si>
    <t>應收友合生化02月份股代收入</t>
  </si>
  <si>
    <t>HG202603130062-65</t>
  </si>
  <si>
    <t>應收一零四資02月份股代收入</t>
  </si>
  <si>
    <t>HG202603130062-67</t>
  </si>
  <si>
    <t>應收擎邦國際02月份股代收入</t>
  </si>
  <si>
    <t>HG202603130062-69</t>
  </si>
  <si>
    <t>應收互動國際02月份股代收入</t>
  </si>
  <si>
    <t>HG202603130062-77</t>
  </si>
  <si>
    <t>應收寒舍餐旅02月份股代收入</t>
  </si>
  <si>
    <t>HG202603130062-85</t>
  </si>
  <si>
    <t>應收嵩達光電02月份股代收入</t>
  </si>
  <si>
    <t>HG202603130062-89</t>
  </si>
  <si>
    <t>應收忠正股份02月份股代收入</t>
  </si>
  <si>
    <t>HG202603130062-91</t>
  </si>
  <si>
    <t>應收亞拓醫療02月份股代收入</t>
  </si>
  <si>
    <t>HG202603130062-93</t>
  </si>
  <si>
    <t>應收新典自動02月份股代收入</t>
  </si>
  <si>
    <t>HG202603130062-99</t>
  </si>
  <si>
    <t>應收強信機械(英屬開曼)02月份股代收入</t>
  </si>
  <si>
    <t>HG202603130062-101</t>
  </si>
  <si>
    <t>應收艾笛森光02月份股代收入</t>
  </si>
  <si>
    <t>HG202603130062-103</t>
  </si>
  <si>
    <t>應收宏旭控股02月份股代收入</t>
  </si>
  <si>
    <t>55996613</t>
  </si>
  <si>
    <t>HG202603130062-105</t>
  </si>
  <si>
    <t>應收雲豹能源02月份股代收入</t>
  </si>
  <si>
    <t>HG202603130062-107</t>
  </si>
  <si>
    <t>應收台灣博世02月份股代收入</t>
  </si>
  <si>
    <t>HG202603130062-109</t>
  </si>
  <si>
    <t>應收通用矽酮02月份股代收入</t>
  </si>
  <si>
    <t>HG202603130062-111</t>
  </si>
  <si>
    <t>應收利百景股02月份股代收入</t>
  </si>
  <si>
    <t>HG202603130062-113</t>
  </si>
  <si>
    <t>應收文麥股份02月份股代收入</t>
  </si>
  <si>
    <t>HG202603130062-115</t>
  </si>
  <si>
    <t>應收新晶投資02月份股代收入</t>
  </si>
  <si>
    <t>HG202603130062-117</t>
  </si>
  <si>
    <t>應收八貫企業02月份股代收入</t>
  </si>
  <si>
    <t>HG202603130062-119</t>
  </si>
  <si>
    <t>應收瓦城泰統02月份股代收入</t>
  </si>
  <si>
    <t>HG202603130062-121</t>
  </si>
  <si>
    <t>應收仁親銅導02月份股代收入</t>
  </si>
  <si>
    <t>HG202603130062-123</t>
  </si>
  <si>
    <t>應收綠基企業02月份股代收入</t>
  </si>
  <si>
    <t>HG202603130062-125</t>
  </si>
  <si>
    <t>應收天鉞電子02月份股代收入</t>
  </si>
  <si>
    <t>HG202603130062-129</t>
  </si>
  <si>
    <t>應收慶鴻機電02月份股代收入</t>
  </si>
  <si>
    <t>HG202603130062-131</t>
  </si>
  <si>
    <t>應收宏璟建設02月份股代收入</t>
  </si>
  <si>
    <t>HG202603130062-133</t>
  </si>
  <si>
    <t>應收大恆資源02月份股代收入</t>
  </si>
  <si>
    <t>HG202603130062-135</t>
  </si>
  <si>
    <t>應收台灣優燈02月份股代收入</t>
  </si>
  <si>
    <t>HG202603130062-139</t>
  </si>
  <si>
    <t>應收兆捷科技02月份股代收入</t>
  </si>
  <si>
    <t>HG202603130062-151</t>
  </si>
  <si>
    <t>應收奇偶科技02月份股代收入</t>
  </si>
  <si>
    <t>HG202603130062-157</t>
  </si>
  <si>
    <t>應收宏碁遊戲02月份股代收入</t>
  </si>
  <si>
    <t>HG202603130062-159</t>
  </si>
  <si>
    <t>應收岱宇國際02月份股代收入</t>
  </si>
  <si>
    <t>HG202603130062-161</t>
  </si>
  <si>
    <t>應收有萬科技02月份股代收入</t>
  </si>
  <si>
    <t>HG202603130062-163</t>
  </si>
  <si>
    <t>應收秀育企業02月份股代收入</t>
  </si>
  <si>
    <t>HG202603130062-167</t>
  </si>
  <si>
    <t>應收兆聯實業02月份股代收入</t>
  </si>
  <si>
    <t>HG202603130062-171</t>
  </si>
  <si>
    <t>應收合世生醫02月份股代收入</t>
  </si>
  <si>
    <t>HG202603130062-177</t>
  </si>
  <si>
    <t>應收聖州企業02月份股代收入</t>
  </si>
  <si>
    <t>HG202603130062-179</t>
  </si>
  <si>
    <t>應收飛鳥車用02月份股代收入</t>
  </si>
  <si>
    <t>HG202603130062-181</t>
  </si>
  <si>
    <t>應收再生緣細02月份股代收入</t>
  </si>
  <si>
    <t>HG202603130062-183</t>
  </si>
  <si>
    <t>應收暄達醫學02月份股代收入</t>
  </si>
  <si>
    <t>HG202603130062-187</t>
  </si>
  <si>
    <t>應收禾多移動02月份股代收入</t>
  </si>
  <si>
    <t>HG202603130062-191</t>
  </si>
  <si>
    <t>應收臺北醫學02月份股代收入</t>
  </si>
  <si>
    <t>HG202603130062-195</t>
  </si>
  <si>
    <t>應收博晶醫電02月份股代收入</t>
  </si>
  <si>
    <t>HG202603130062-199</t>
  </si>
  <si>
    <t>應收群創能源02月份股代收入</t>
  </si>
  <si>
    <t>HG202603130062-201</t>
  </si>
  <si>
    <t>應收亞洲航空02月份股代收入</t>
  </si>
  <si>
    <t>HG202603130062-203</t>
  </si>
  <si>
    <t>應收互貴興業02月份股代收入</t>
  </si>
  <si>
    <t>HG202603130062-205</t>
  </si>
  <si>
    <t>應收燁鋒輕合02月份股代收入</t>
  </si>
  <si>
    <t>HG202603130062-207</t>
  </si>
  <si>
    <t>應收勁耘科技02月份股代收入</t>
  </si>
  <si>
    <t>HG202603130062-209</t>
  </si>
  <si>
    <t>應收立普思股02月份股代收入</t>
  </si>
  <si>
    <t>54058540</t>
  </si>
  <si>
    <t>HG202603130062-211</t>
  </si>
  <si>
    <t>應收中化控股02月份股代收入</t>
  </si>
  <si>
    <t>HG202603130062-217</t>
  </si>
  <si>
    <t>應收世福細胞02月份股代收入</t>
  </si>
  <si>
    <t>HG202603130062-223</t>
  </si>
  <si>
    <t>應收樂居科技02月份股代收入</t>
  </si>
  <si>
    <t>HG202603130062-225</t>
  </si>
  <si>
    <t>應收科明儀器02月份股代收入</t>
  </si>
  <si>
    <t>HG202603130062-227</t>
  </si>
  <si>
    <t>應收富宇翔電02月份股代收入</t>
  </si>
  <si>
    <t>HG202603130062-229</t>
  </si>
  <si>
    <t>應收光鼎電子02月份股代收入</t>
  </si>
  <si>
    <t>HG202603130062-233</t>
  </si>
  <si>
    <t>應收三和健康02月份股代收入</t>
  </si>
  <si>
    <t>HG202603130062-235</t>
  </si>
  <si>
    <t>應收佳華康健02月份股代收入</t>
  </si>
  <si>
    <t>HG202603130062-239</t>
  </si>
  <si>
    <t>應收寶泰生醫02月份股代收入</t>
  </si>
  <si>
    <t>HG202603130062-243</t>
  </si>
  <si>
    <t>應收麗升能源02月份股代收入</t>
  </si>
  <si>
    <t>HG202603130062-245</t>
  </si>
  <si>
    <t>應收邱氏鼎食02月份股代收入</t>
  </si>
  <si>
    <t>HG202603130062-247</t>
  </si>
  <si>
    <t>應收中華電線02月份股代收入</t>
  </si>
  <si>
    <t>HG202603130062-249</t>
  </si>
  <si>
    <t>應收理想大地02月份股代收入</t>
  </si>
  <si>
    <t>HG202603130062-251</t>
  </si>
  <si>
    <t>應收微端科技02月份股代收入</t>
  </si>
  <si>
    <t>HG202603130062-253</t>
  </si>
  <si>
    <t>應收信音企業02月份股代收入</t>
  </si>
  <si>
    <t>HG202603130062-255</t>
  </si>
  <si>
    <t>應收墩豐機械(24150)02月份股代收入</t>
  </si>
  <si>
    <t>HG202603130062-259</t>
  </si>
  <si>
    <t>應收銳俤科技02月份股代收入</t>
  </si>
  <si>
    <t>HG202603130062-261</t>
  </si>
  <si>
    <t>應收富泰企業02月份股代收入</t>
  </si>
  <si>
    <t>HG202603130062-263</t>
  </si>
  <si>
    <t>應收台灣亞虎02月份股代收入</t>
  </si>
  <si>
    <t>HG202603130062-265</t>
  </si>
  <si>
    <t>應收僑威科技02月份股代收入</t>
  </si>
  <si>
    <t>HG202603130062-267</t>
  </si>
  <si>
    <t>應收時報文化02月份股代收入</t>
  </si>
  <si>
    <t>HG202603130062-269</t>
  </si>
  <si>
    <t>應收鐵研科技02月份股代收入</t>
  </si>
  <si>
    <t>HG202603130062-271</t>
  </si>
  <si>
    <t>應收元祖實業02月份股代收入</t>
  </si>
  <si>
    <t>HG202603130062-273</t>
  </si>
  <si>
    <t>應收生物鎵科02月份股代收入</t>
  </si>
  <si>
    <t>HG202603130062-275</t>
  </si>
  <si>
    <t>應收欣桃天然02月份股代收入</t>
  </si>
  <si>
    <t>HG202603130062-277</t>
  </si>
  <si>
    <t>應收大中鋼鐵02月份股代收入</t>
  </si>
  <si>
    <t>HG202603130062-281</t>
  </si>
  <si>
    <t>應收昇陽建設02月份股代收入</t>
  </si>
  <si>
    <t>HG202603130062-283</t>
  </si>
  <si>
    <t>應收芳泉工業02月份股代收入</t>
  </si>
  <si>
    <t>HG202603130062-285</t>
  </si>
  <si>
    <t>應收永達保險02月份股代收入</t>
  </si>
  <si>
    <t>HG202603130062-287</t>
  </si>
  <si>
    <t>應收達運光電02月份股代收入</t>
  </si>
  <si>
    <t>HG202603130062-289</t>
  </si>
  <si>
    <t>應收西柏科技02月份股代收入</t>
  </si>
  <si>
    <t>HG202603130062-291</t>
  </si>
  <si>
    <t>應收志旭國際02月份股代收入</t>
  </si>
  <si>
    <t>HG202603130062-293</t>
  </si>
  <si>
    <t>應收聯合骨科02月份股代收入</t>
  </si>
  <si>
    <t>HG202603130062-295</t>
  </si>
  <si>
    <t>應收瑋鋒科技02月份股代收入</t>
  </si>
  <si>
    <t>HG202603130062-297</t>
  </si>
  <si>
    <t>應收大詠城機02月份股代收入</t>
  </si>
  <si>
    <t>HG202603130062-299</t>
  </si>
  <si>
    <t>應收馬光保健(26925)02月份股代收入</t>
  </si>
  <si>
    <t>HG202603130062-301</t>
  </si>
  <si>
    <t>應收萊特先進02月份股代收入</t>
  </si>
  <si>
    <t>HG202603130062-303</t>
  </si>
  <si>
    <t>應收安馳科技02月份股代收入</t>
  </si>
  <si>
    <t>HG202603130062-305</t>
  </si>
  <si>
    <t>應收商店街市02月份股代收入</t>
  </si>
  <si>
    <t>HG202603130062-307</t>
  </si>
  <si>
    <t>應收同亨科技02月份股代收入</t>
  </si>
  <si>
    <t>HG202603130062-309</t>
  </si>
  <si>
    <t>應收長利科技02月份股代收入</t>
  </si>
  <si>
    <t>HG202603130062-311</t>
  </si>
  <si>
    <t>應收睿明科技02月份股代收入</t>
  </si>
  <si>
    <t>HG202603130062-313</t>
  </si>
  <si>
    <t>應收全球人壽02月份股代收入</t>
  </si>
  <si>
    <t>HG202603130062-315</t>
  </si>
  <si>
    <t>應收欣揚電腦02月份股代收入</t>
  </si>
  <si>
    <t>HG202603130062-319</t>
  </si>
  <si>
    <t>應收友良高科02月份股代收入</t>
  </si>
  <si>
    <t>HG202603130062-321</t>
  </si>
  <si>
    <t>應收鄉林建設02月份股代收入</t>
  </si>
  <si>
    <t>HG202603130062-323</t>
  </si>
  <si>
    <t>應收元始生技02月份股代收入</t>
  </si>
  <si>
    <t>HG202603130062-325</t>
  </si>
  <si>
    <t>應收大園汽電02月份股代收入</t>
  </si>
  <si>
    <t>HG202603130062-329</t>
  </si>
  <si>
    <t>應收台灣曼茲02月份股代收入</t>
  </si>
  <si>
    <t>HG202603130062-333</t>
  </si>
  <si>
    <t>應收生控基因02月份股代收入</t>
  </si>
  <si>
    <t>HG202603130062-335</t>
  </si>
  <si>
    <t>應收歐格電子02月份股代收入</t>
  </si>
  <si>
    <t>HG202603130062-339</t>
  </si>
  <si>
    <t>應收寶德科技02月份股代收入</t>
  </si>
  <si>
    <t>HG202603130062-343</t>
  </si>
  <si>
    <t>應收飛梭精密02月份股代收入</t>
  </si>
  <si>
    <t>HE202603160021-19</t>
  </si>
  <si>
    <t>03/13複委託富邦手續費HKCNCJZ2</t>
  </si>
  <si>
    <t>HE202603160008-35</t>
  </si>
  <si>
    <t>03/12複委託富邦手續費BTIT</t>
  </si>
  <si>
    <t>HE202603160008-55</t>
  </si>
  <si>
    <t>03/12複委託富邦手續費BTKR</t>
  </si>
  <si>
    <t>HC202603160055-1</t>
  </si>
  <si>
    <t>華泰電子-國內第1次無擔保轉換公司債案承銷手續費收入</t>
  </si>
  <si>
    <t>89004161</t>
  </si>
  <si>
    <t>HC202603160056-1</t>
  </si>
  <si>
    <t>台灣光罩-114年現金增資案承銷手續費收入</t>
  </si>
  <si>
    <t>22099408</t>
  </si>
  <si>
    <t>HC202603160054-1</t>
  </si>
  <si>
    <t>景碩科技-114年現金增資案管理報酬及承銷手續費收入</t>
  </si>
  <si>
    <t>70785139</t>
  </si>
  <si>
    <t>HE202603170009-51</t>
  </si>
  <si>
    <t>03/13複委託富邦手續費BTKR</t>
  </si>
  <si>
    <t>HE202603180014-54</t>
  </si>
  <si>
    <t>03/16複委託富邦手續費BTKR</t>
  </si>
  <si>
    <t>HC202603180032-1</t>
  </si>
  <si>
    <t>鴻呈實業-國內第1次無擔保轉換公司債案承銷手續費收入</t>
  </si>
  <si>
    <t>89238750</t>
  </si>
  <si>
    <t>HC202603180031-1</t>
  </si>
  <si>
    <t>高端疫苗-國內第2次有擔保轉換公司債案承銷手續費收入</t>
  </si>
  <si>
    <t>53943057</t>
  </si>
  <si>
    <t>HE202603190012-4</t>
  </si>
  <si>
    <t>03/17複委託富邦手續費BTFR</t>
  </si>
  <si>
    <t>HE202603190012-69</t>
  </si>
  <si>
    <t>03/17複委託富邦手續費BTSP</t>
  </si>
  <si>
    <t>HE202603190012-53</t>
  </si>
  <si>
    <t>03/17複委託富邦手續費BTKR</t>
  </si>
  <si>
    <t>HC202603190050-1</t>
  </si>
  <si>
    <t>聯上實業-國內第6次無擔保轉換公司債案承銷手續費收入</t>
  </si>
  <si>
    <t>16126477</t>
  </si>
  <si>
    <t>HE202603200047-21</t>
  </si>
  <si>
    <t>03/19複委託富邦手續費HKCNCJS2</t>
  </si>
  <si>
    <t>HE202603200047-25</t>
  </si>
  <si>
    <t>03/19複委託富邦手續費HKCNCJZ2</t>
  </si>
  <si>
    <t>HE202603200046-47</t>
  </si>
  <si>
    <t>03/18複委託富邦手續費BTKR</t>
  </si>
  <si>
    <t>HE202603200047-48</t>
  </si>
  <si>
    <t>03/19複委託富邦手續費MX  BTMX</t>
  </si>
  <si>
    <t>MXN</t>
  </si>
  <si>
    <t>HE202603230025-23</t>
  </si>
  <si>
    <t>03/20複委託富邦手續費HKCNCJS2</t>
  </si>
  <si>
    <t>HE202603230025-27</t>
  </si>
  <si>
    <t>03/20複委託富邦手續費HKCNCJZ2</t>
  </si>
  <si>
    <t>HE202603230024-45</t>
  </si>
  <si>
    <t>03/19複委託富邦手續費BTKR</t>
  </si>
  <si>
    <t>HE202603230025-47</t>
  </si>
  <si>
    <t>03/20複委託富邦手續費MX  BTMX</t>
  </si>
  <si>
    <t>HC202603230054-1</t>
  </si>
  <si>
    <t>11AC7</t>
  </si>
  <si>
    <t>和潤企業-115年度第1次無擔保普通公司債案承銷手續費收入</t>
  </si>
  <si>
    <t>16844548</t>
  </si>
  <si>
    <t>HE202603240036-16</t>
  </si>
  <si>
    <t>03/23複委託富邦手續費HKCNCJS2</t>
  </si>
  <si>
    <t>HE202603240036-21</t>
  </si>
  <si>
    <t>03/23複委託富邦手續費HKCNCJZ2</t>
  </si>
  <si>
    <t>HE202603240009-49</t>
  </si>
  <si>
    <t>03/20複委託富邦手續費BTKR</t>
  </si>
  <si>
    <t>HE202603240036-53</t>
  </si>
  <si>
    <t>03/23複委託富邦手續費MX  BTMX</t>
  </si>
  <si>
    <t>HC202603240051-1</t>
  </si>
  <si>
    <t>台灣積體電路製造-115年第1期無擔保普通公司債案承銷手續費收入</t>
  </si>
  <si>
    <t>22099131</t>
  </si>
  <si>
    <t>HC202603240035-1</t>
  </si>
  <si>
    <t>民盛應用-初次上櫃案管理報酬及承銷手續費收入</t>
  </si>
  <si>
    <t>83063590</t>
  </si>
  <si>
    <t>HC202603240034-1</t>
  </si>
  <si>
    <t>宏碁遊戲- 創新板 初次上市案管理報酬及承銷手續費收入</t>
  </si>
  <si>
    <t>HC202603240034-2</t>
  </si>
  <si>
    <t>HC202603240036-1</t>
  </si>
  <si>
    <t>定穎投資-國內第2次無擔保轉換公司債案承銷手續費收入</t>
  </si>
  <si>
    <t>90302792</t>
  </si>
  <si>
    <t>HE202603250019-11</t>
  </si>
  <si>
    <t>03/23複委託富邦手續費BTFR</t>
  </si>
  <si>
    <t>HE202603250019-50</t>
  </si>
  <si>
    <t>03/23複委託富邦手續費BTIT</t>
  </si>
  <si>
    <t>HE202603250001-4</t>
  </si>
  <si>
    <t>03/16複委託富邦手續費BTIJ</t>
  </si>
  <si>
    <t>HE202603250019-74</t>
  </si>
  <si>
    <t>03/23複委託富邦手續費BTKR</t>
  </si>
  <si>
    <t>HE202603260006-49</t>
  </si>
  <si>
    <t>03/24複委託富邦手續費BTKR</t>
  </si>
  <si>
    <t>HE202603270035-20</t>
  </si>
  <si>
    <t>03/26複委託富邦手續費HKCNCJS2</t>
  </si>
  <si>
    <t>HE202603270035-24</t>
  </si>
  <si>
    <t>03/26複委託富邦手續費HKCNCJZ2</t>
  </si>
  <si>
    <t>HE202603270033-11</t>
  </si>
  <si>
    <t>03/25複委託富邦手續費BTFR</t>
  </si>
  <si>
    <t>HE202603270033-77</t>
  </si>
  <si>
    <t>03/25複委託富邦手續費BTSP</t>
  </si>
  <si>
    <t>HE202603270033-67</t>
  </si>
  <si>
    <t>03/25複委託富邦手續費BTKR</t>
  </si>
  <si>
    <t>HE202603300006-37</t>
  </si>
  <si>
    <t>03/26複委託富邦手續費BTIT</t>
  </si>
  <si>
    <t>HE202603300006-68</t>
  </si>
  <si>
    <t>03/26複委託富邦手續費BTSP</t>
  </si>
  <si>
    <t>HE202603300006-57</t>
  </si>
  <si>
    <t>03/26複委託富邦手續費BTKR</t>
  </si>
  <si>
    <t>HC202603300016-1</t>
  </si>
  <si>
    <t>保瑞藥業-國內第4次無擔保轉換公司債案承銷手續費收入</t>
  </si>
  <si>
    <t>28684877</t>
  </si>
  <si>
    <t>HG202603310107-2</t>
  </si>
  <si>
    <t>03月複委託應收帳款外幣評價損失</t>
  </si>
  <si>
    <t>HG202603310107-4</t>
  </si>
  <si>
    <t>HE202603310019-11</t>
  </si>
  <si>
    <t>03/27複委託富邦手續費BTFR</t>
  </si>
  <si>
    <t>HG202603310107-6</t>
  </si>
  <si>
    <t>HE202603310019-51</t>
  </si>
  <si>
    <t>03/27複委託富邦手續費BTIT</t>
  </si>
  <si>
    <t>HG202603310107-8</t>
  </si>
  <si>
    <t>HG202603310107-10</t>
  </si>
  <si>
    <t>HG202603310044-9</t>
  </si>
  <si>
    <t>提列3月財管業務-基金後收型手續費收入-柏瑞投信</t>
  </si>
  <si>
    <t>HG202603310107-12</t>
  </si>
  <si>
    <t>HG202603310044-27</t>
  </si>
  <si>
    <t>提列3月財管業務-基金後收型手續費收入-聯博投信(境外)</t>
  </si>
  <si>
    <t>HE202603310019-74</t>
  </si>
  <si>
    <t>03/27複委託富邦手續費BTKR</t>
  </si>
  <si>
    <t>HG202603310107-14</t>
  </si>
  <si>
    <t>HG202603310107-16</t>
  </si>
  <si>
    <t>HG202603310107-18</t>
  </si>
  <si>
    <t>HG202603310045-3</t>
  </si>
  <si>
    <t>提列3月財管業務-借券服務收入</t>
  </si>
  <si>
    <t>HE202603310001-1</t>
  </si>
  <si>
    <t>提列115/03複委託基金管理費收入</t>
  </si>
  <si>
    <t>HG202603310049-3</t>
  </si>
  <si>
    <t>提列03月份FINI保管業務收入</t>
  </si>
  <si>
    <t>HG202603310044-1</t>
  </si>
  <si>
    <t>提列3月財管業務-基金後收型手續費收入-聯博投信</t>
  </si>
  <si>
    <t>HG202603310044-7</t>
  </si>
  <si>
    <t>提列3月財管業務-基金後收型手續費收入-群益投信</t>
  </si>
  <si>
    <t>HG202603310044-3</t>
  </si>
  <si>
    <t>HG202603310044-5</t>
  </si>
  <si>
    <t>提列3月財管業務-基金後收型手續費收入-野村投信</t>
  </si>
  <si>
    <t>HG202603310044-17</t>
  </si>
  <si>
    <t>提列3月財管業務-基金後收型手續費收入-野村投信(高盛)</t>
  </si>
  <si>
    <t>HG202603310107-19</t>
  </si>
  <si>
    <t>03月複委託應收帳款外幣評價利益</t>
  </si>
  <si>
    <t>HG202603310044-29</t>
  </si>
  <si>
    <t>HG202603310044-31</t>
  </si>
  <si>
    <t>提列3月財管業務-基金後收型手續費收入-摩根投信</t>
  </si>
  <si>
    <t>HG202603310044-21</t>
  </si>
  <si>
    <t>提列3月財管業務-基金後收型手續費收入-安聯投信(境外)</t>
  </si>
  <si>
    <t>HG202603310044-23</t>
  </si>
  <si>
    <t>提列3月財管業務-基金後收型手續費收入-品浩太平洋投顧</t>
  </si>
  <si>
    <t>HG202603310044-25</t>
  </si>
  <si>
    <t>提列3月財管業務-基金後收型手續費收入-野村投信(愛爾蘭)</t>
  </si>
  <si>
    <t>HG202603310107-22</t>
  </si>
  <si>
    <t>HG202603310044-19</t>
  </si>
  <si>
    <t>HG202603310044-11</t>
  </si>
  <si>
    <t>HG202604010100-1</t>
  </si>
  <si>
    <t>沖03月複委託應收帳款外幣評價損失</t>
  </si>
  <si>
    <t>HG202604010100-4</t>
  </si>
  <si>
    <t>HE202604010020-16</t>
  </si>
  <si>
    <t>03/31複委託富邦手續費HKCNCJZ2</t>
  </si>
  <si>
    <t>HG202604010100-6</t>
  </si>
  <si>
    <t>HG202604010100-8</t>
  </si>
  <si>
    <t>HG202604010100-10</t>
  </si>
  <si>
    <t>HG202604010100-12</t>
  </si>
  <si>
    <t>HG202604010100-14</t>
  </si>
  <si>
    <t>HE202604010005-62</t>
  </si>
  <si>
    <t>03/30複委託富邦手續費BTKR</t>
  </si>
  <si>
    <t>HG202604010100-16</t>
  </si>
  <si>
    <t>HG202604010100-18</t>
  </si>
  <si>
    <t>HG202604010100-19</t>
  </si>
  <si>
    <t>沖03月複委託應收帳款外幣評價利益</t>
  </si>
  <si>
    <t>HG202604010100-22</t>
  </si>
  <si>
    <t>HE202604020015-17</t>
  </si>
  <si>
    <t>04/01複委託富邦手續費HKCNCJS2</t>
  </si>
  <si>
    <t>HE202604020008-4</t>
  </si>
  <si>
    <t>03/31複委託富邦手續費BTFR</t>
  </si>
  <si>
    <t>HE202604020008-56</t>
  </si>
  <si>
    <t>03/31複委託富邦手續費BTKR</t>
  </si>
  <si>
    <t>HB202604020023-15</t>
  </si>
  <si>
    <t>HE202604030004-18</t>
  </si>
  <si>
    <t>04/01複委託富邦手續費BTKR</t>
  </si>
  <si>
    <t>HE202604070008-4</t>
  </si>
  <si>
    <t>04/01複委託富邦手續費BTFR</t>
  </si>
  <si>
    <t>HE202604070008-15</t>
  </si>
  <si>
    <t>04/01複委託富邦手續費BTSP</t>
  </si>
  <si>
    <t>HB202604070030-10</t>
  </si>
  <si>
    <t>HE202604080007-5</t>
  </si>
  <si>
    <t>04/02複委託富邦手續費BTFR</t>
  </si>
  <si>
    <t>HE202604080007-24</t>
  </si>
  <si>
    <t>04/02複委託富邦手續費BTIT</t>
  </si>
  <si>
    <t>HE202604080007-28</t>
  </si>
  <si>
    <t>04/02複委託富邦手續費BTSP</t>
  </si>
  <si>
    <t>HB202604080022-11</t>
  </si>
  <si>
    <t>HG202604080105-1</t>
  </si>
  <si>
    <t>應收圓剛科技03月份股代收入</t>
  </si>
  <si>
    <t>HG202604080105-3</t>
  </si>
  <si>
    <t>應收品安科技03月份股代收入</t>
  </si>
  <si>
    <t>HG202604080105-5</t>
  </si>
  <si>
    <t>應收世豐螺絲03月份股代收入</t>
  </si>
  <si>
    <t>HG202604080105-7</t>
  </si>
  <si>
    <t>應收鈺緯科技03月份股代收入</t>
  </si>
  <si>
    <t>HG202604080105-9</t>
  </si>
  <si>
    <t>應收鼎元光電03月份股代收入</t>
  </si>
  <si>
    <t>HG202604080105-11</t>
  </si>
  <si>
    <t>應收鈦思科技03月份股代收入</t>
  </si>
  <si>
    <t>HG202604080105-13</t>
  </si>
  <si>
    <t>應收科治新技03月份股代收入</t>
  </si>
  <si>
    <t>HG202604080105-15</t>
  </si>
  <si>
    <t>應收秀波電子03月份股代收入</t>
  </si>
  <si>
    <t>HG202604080105-17</t>
  </si>
  <si>
    <t>應收秀懋股份03月份股代收入</t>
  </si>
  <si>
    <t>HG202604080105-19</t>
  </si>
  <si>
    <t>應收秀越實業03月份股代收入</t>
  </si>
  <si>
    <t>HG202604080105-21</t>
  </si>
  <si>
    <t>應收新秀波磁03月份股代收入</t>
  </si>
  <si>
    <t>HG202604080105-23</t>
  </si>
  <si>
    <t>應收樂富一號03月份股代收入</t>
  </si>
  <si>
    <t>HG202604080105-25</t>
  </si>
  <si>
    <t>應收建德工業03月份股代收入</t>
  </si>
  <si>
    <t>HG202604080105-27</t>
  </si>
  <si>
    <t>應收穩得實業03月份股代收入</t>
  </si>
  <si>
    <t>HG202604080105-29</t>
  </si>
  <si>
    <t>應收龍巖股份03月份股代收入</t>
  </si>
  <si>
    <t>HG202604080105-31</t>
  </si>
  <si>
    <t>應收欣崴國際03月份股代收入</t>
  </si>
  <si>
    <t>HG202604080105-33</t>
  </si>
  <si>
    <t>應收宇錡建設03月份股代收入</t>
  </si>
  <si>
    <t>HG202604080105-35</t>
  </si>
  <si>
    <t>應收聯發紡織03月份股代收入</t>
  </si>
  <si>
    <t>HG202604080105-37</t>
  </si>
  <si>
    <t>應收神準科技04月份股代收入</t>
  </si>
  <si>
    <t>HG202604080105-41</t>
  </si>
  <si>
    <t>應收台灣氣立04月份股代收入</t>
  </si>
  <si>
    <t>HG202604080105-43</t>
  </si>
  <si>
    <t>應收安捷航空04月份股代收入</t>
  </si>
  <si>
    <t>HG202604080105-45</t>
  </si>
  <si>
    <t>應收華景電通04月份股代收入</t>
  </si>
  <si>
    <t>HG202604080105-47</t>
  </si>
  <si>
    <t>應收巨漢系統04月份股代收入</t>
  </si>
  <si>
    <t>HG202604080105-51</t>
  </si>
  <si>
    <t>應收昱嘉科技04月份股代收入</t>
  </si>
  <si>
    <t>HG202604080105-53</t>
  </si>
  <si>
    <t>應收竹陞科技04月份股代收入</t>
  </si>
  <si>
    <t>56712683</t>
  </si>
  <si>
    <t>HG202604080105-55</t>
  </si>
  <si>
    <t>應收南緯實業04月份股代收入</t>
  </si>
  <si>
    <t>HG202604080105-57</t>
  </si>
  <si>
    <t>應收日馳企業04月份股代收入</t>
  </si>
  <si>
    <t>HG202604080105-59</t>
  </si>
  <si>
    <t>應收台灣富綢04月份股代收入</t>
  </si>
  <si>
    <t>HG202604080105-61</t>
  </si>
  <si>
    <t>應收尚德實業04月份股代收入</t>
  </si>
  <si>
    <t>HG202604080105-63</t>
  </si>
  <si>
    <t>應收東聯光訊04月份股代收入</t>
  </si>
  <si>
    <t>HG202604080105-65</t>
  </si>
  <si>
    <t>應收柏承科技04月份股代收入</t>
  </si>
  <si>
    <t>HG202604080105-67</t>
  </si>
  <si>
    <t>應收德淵企業04月份股代收入</t>
  </si>
  <si>
    <t>HG202604080105-69</t>
  </si>
  <si>
    <t>應收幃翔精密04月份股代收入</t>
  </si>
  <si>
    <t>HG202604080105-71</t>
  </si>
  <si>
    <t>應收南光化學04月份股代收入</t>
  </si>
  <si>
    <t>HG202604080105-73</t>
  </si>
  <si>
    <t>應收瑞安大藥04月份股代收入</t>
  </si>
  <si>
    <t>HG202604080105-75</t>
  </si>
  <si>
    <t>應收大同精密04月份股代收入</t>
  </si>
  <si>
    <t>HG202604080105-77</t>
  </si>
  <si>
    <t>應收逸昌科技04月份股代收入</t>
  </si>
  <si>
    <t>HG202604080105-79</t>
  </si>
  <si>
    <t>應收大同半導04月份股代收入</t>
  </si>
  <si>
    <t>HG202604080105-81</t>
  </si>
  <si>
    <t>應收寶緯工業04月份股代收入</t>
  </si>
  <si>
    <t>HG202604080105-83</t>
  </si>
  <si>
    <t>應收台通光電04月份股代收入</t>
  </si>
  <si>
    <t>HG202604080105-85</t>
  </si>
  <si>
    <t>應收新天地國04月份股代收入</t>
  </si>
  <si>
    <t>HG202604080105-87</t>
  </si>
  <si>
    <t>應收銳捷科技04月份股代收入</t>
  </si>
  <si>
    <t>HG202604080105-89</t>
  </si>
  <si>
    <t>應收達欣工程04月份股代收入</t>
  </si>
  <si>
    <t>HG202604080105-91</t>
  </si>
  <si>
    <t>應收中良工業04月份股代收入</t>
  </si>
  <si>
    <t>HG202604080105-93</t>
  </si>
  <si>
    <t>應收金鼎聯合04月份股代收入</t>
  </si>
  <si>
    <t>HG202604080105-95</t>
  </si>
  <si>
    <t>應收百德機械04月份股代收入</t>
  </si>
  <si>
    <t>HG202604080105-97</t>
  </si>
  <si>
    <t>應收欣普羅光04月份股代收入</t>
  </si>
  <si>
    <t>HG202604080105-99</t>
  </si>
  <si>
    <t>應收台灣粒線04月份股代收入</t>
  </si>
  <si>
    <t>HG202604080105-101</t>
  </si>
  <si>
    <t>應收研晶光電04月份股代收入</t>
  </si>
  <si>
    <t>HG202604080105-103</t>
  </si>
  <si>
    <t>應收聯勝光電04月份股代收入</t>
  </si>
  <si>
    <t>HG202604080105-105</t>
  </si>
  <si>
    <t>應收順泰電子04月份股代收入</t>
  </si>
  <si>
    <t>HG202604080105-107</t>
  </si>
  <si>
    <t>應收歐思佛生04月份股代收入</t>
  </si>
  <si>
    <t>HG202604080105-109</t>
  </si>
  <si>
    <t>應收宏泰工業04月份股代收入</t>
  </si>
  <si>
    <t>HG202604080105-111</t>
  </si>
  <si>
    <t>應收頂程國際04月份股代收入</t>
  </si>
  <si>
    <t>HG202604080105-113</t>
  </si>
  <si>
    <t>應收旭東機械04月份股代收入</t>
  </si>
  <si>
    <t>HG202604080105-115</t>
  </si>
  <si>
    <t>應收凱德資本04月份股代收入</t>
  </si>
  <si>
    <t>HG202604080105-117</t>
  </si>
  <si>
    <t>應收玖鼎電力04月份股代收入</t>
  </si>
  <si>
    <t>HG202604080105-119</t>
  </si>
  <si>
    <t>應收國泰一號04月份股代收入</t>
  </si>
  <si>
    <t>HG202604080105-121</t>
  </si>
  <si>
    <t>應收國泰二號04月份股代收入</t>
  </si>
  <si>
    <t>HG202604080105-123</t>
  </si>
  <si>
    <t>應收群馥科技04月份股代收入</t>
  </si>
  <si>
    <t>HE202604080043-2</t>
  </si>
  <si>
    <t>4/7複委託富邦手續費FBUS :沖</t>
  </si>
  <si>
    <t>HE202604080027-71</t>
  </si>
  <si>
    <t>04/07複委託富邦手續費USA FBUS</t>
  </si>
  <si>
    <t>HE202604090017-18</t>
  </si>
  <si>
    <t>04/07複委託富邦手續費BTFR</t>
  </si>
  <si>
    <t>HE202604090017-35</t>
  </si>
  <si>
    <t>04/07複委託富邦手續費BTIT</t>
  </si>
  <si>
    <t>HE202604090017-69</t>
  </si>
  <si>
    <t>04/07複委託富邦手續費BTSP</t>
  </si>
  <si>
    <t>HE202604090017-58</t>
  </si>
  <si>
    <t>04/07複委託富邦手續費BTKR</t>
  </si>
  <si>
    <t>HC202604090048-2</t>
  </si>
  <si>
    <t>沖和潤企業-115年度第1次無擔保普通公司債案承銷手續費收入</t>
  </si>
  <si>
    <t>HB202604090027-11</t>
  </si>
  <si>
    <t>HG202604090031-5</t>
  </si>
  <si>
    <t>沖應收台灣優燈02月份股代收入</t>
  </si>
  <si>
    <t>HG202604090031-9</t>
  </si>
  <si>
    <t>沖應收燁鋒輕合02月份股代收入</t>
  </si>
  <si>
    <t>HE202604090018-101</t>
  </si>
  <si>
    <t>04/08複委託富邦手續費USA FBUS</t>
  </si>
  <si>
    <t>HE202604090032-2</t>
  </si>
  <si>
    <t>4/8複委託富邦手續費FBUS :沖</t>
  </si>
  <si>
    <t>HE202604090017-91</t>
  </si>
  <si>
    <t>04/07複委託富邦手續費VN  BTVN</t>
  </si>
  <si>
    <t>VND</t>
  </si>
  <si>
    <t>HE202604100006-4</t>
  </si>
  <si>
    <t>04/08複委託富邦手續費BTFR</t>
  </si>
  <si>
    <t>HE202604100006-35</t>
  </si>
  <si>
    <t>04/08複委託富邦手續費BTIT</t>
  </si>
  <si>
    <t>HE202604100006-62</t>
  </si>
  <si>
    <t>04/08複委託富邦手續費BTSP</t>
  </si>
  <si>
    <t>HE202604100006-56</t>
  </si>
  <si>
    <t>04/08複委託富邦手續費BTKR</t>
  </si>
  <si>
    <t>HG202604100035-22</t>
  </si>
  <si>
    <t>沖應收鼎元光電10月份股代收入</t>
  </si>
  <si>
    <t>HB202604100022-16</t>
  </si>
  <si>
    <t>HG202604100035-25</t>
  </si>
  <si>
    <t>沖應收柏承科技11月份股代收入</t>
  </si>
  <si>
    <t>HG202604100035-28</t>
  </si>
  <si>
    <t>沖應收飛梭精密11月份股代收入</t>
  </si>
  <si>
    <t>HG202604100035-31</t>
  </si>
  <si>
    <t>沖應收嵩達光電12月份股代收入</t>
  </si>
  <si>
    <t>HG202604100035-34</t>
  </si>
  <si>
    <t>沖應收建德工業01月份股代收入</t>
  </si>
  <si>
    <t>HG202604100035-37</t>
  </si>
  <si>
    <t>沖應收祺驊股份01月份股代收入</t>
  </si>
  <si>
    <t>HG202604100035-41</t>
  </si>
  <si>
    <t>沖應收艾笛森光01月份股代收入</t>
  </si>
  <si>
    <t>HG202604100035-44</t>
  </si>
  <si>
    <t>沖應收芳泉工業01-02月份股代收入</t>
  </si>
  <si>
    <t>HG202604100035-47</t>
  </si>
  <si>
    <t>沖應收西柏科技01月份股代收入</t>
  </si>
  <si>
    <t>HG202604100035-49</t>
  </si>
  <si>
    <t>沖應收台灣氣立03月份股代收入</t>
  </si>
  <si>
    <t>HG202604100035-52</t>
  </si>
  <si>
    <t>沖應收巨漢系統03月份股代收入</t>
  </si>
  <si>
    <t>HG202604100035-54</t>
  </si>
  <si>
    <t>沖應收日馳企業03月份股代收入</t>
  </si>
  <si>
    <t>HG202604100035-57</t>
  </si>
  <si>
    <t>沖應收國泰一號03月份股代收入</t>
  </si>
  <si>
    <t>HG202604100035-60</t>
  </si>
  <si>
    <t>沖應收發條橘子02月份股代收入</t>
  </si>
  <si>
    <t>HG202604100035-62</t>
  </si>
  <si>
    <t>沖應收雲程在線02月份股代收入</t>
  </si>
  <si>
    <t>HG202604100035-64</t>
  </si>
  <si>
    <t>沖應收麗豐股份(英屬維京)02月份股代收入</t>
  </si>
  <si>
    <t>HG202604100035-68</t>
  </si>
  <si>
    <t>沖應收互動國際02月份股代收入</t>
  </si>
  <si>
    <t>HG202604100035-70</t>
  </si>
  <si>
    <t>沖應收強信機械(英屬開曼)02月份股代收入</t>
  </si>
  <si>
    <t>HG202604100035-72</t>
  </si>
  <si>
    <t>沖應收宏旭控股02月份股代收入</t>
  </si>
  <si>
    <t>HG202604100035-75</t>
  </si>
  <si>
    <t>沖應收通用矽酮02月份股代收入</t>
  </si>
  <si>
    <t>HG202604100035-78</t>
  </si>
  <si>
    <t>沖應收兆聯實業02月份股代收入</t>
  </si>
  <si>
    <t>HG202604100035-82</t>
  </si>
  <si>
    <t>沖應收飛鳥車用02月份股代收入</t>
  </si>
  <si>
    <t>HG202604100035-84</t>
  </si>
  <si>
    <t>沖應收三和健康02月份股代收入</t>
  </si>
  <si>
    <t>HG202604100035-88</t>
  </si>
  <si>
    <t>沖應收中華電線02月份股代收入</t>
  </si>
  <si>
    <t>HG202604100035-91</t>
  </si>
  <si>
    <t>沖應收元始生技02月份股代收入</t>
  </si>
  <si>
    <t>HC202604100048-2</t>
  </si>
  <si>
    <t>沖114Q4 廣和科技 承銷輔導費(尾款)</t>
  </si>
  <si>
    <t>HC202604100048-3</t>
  </si>
  <si>
    <t>沖115Q1 廣和科技 承銷輔導費</t>
  </si>
  <si>
    <t>HC202604100048-5</t>
  </si>
  <si>
    <t>暫收115Q1 美商沃彌台灣分公司 承銷輔導費</t>
  </si>
  <si>
    <t>HC202604100048-7</t>
  </si>
  <si>
    <t>沖定穎投資-國內第2次無擔保轉換公司債案承銷手續費收入</t>
  </si>
  <si>
    <t>HE202604100017-2</t>
  </si>
  <si>
    <t>4/9複委託富邦手續費FBUS :沖</t>
  </si>
  <si>
    <t>HC202604130028-5</t>
  </si>
  <si>
    <t>沖華泰電子-國內第1次無擔保轉換公司債案承銷手續費收入</t>
  </si>
  <si>
    <t>HG202604130015-2</t>
  </si>
  <si>
    <t>沖應收宏泰工業02月份股代收入</t>
  </si>
  <si>
    <t>HG202604130015-4</t>
  </si>
  <si>
    <t>沖應收豐賓電子02月份股代收入</t>
  </si>
  <si>
    <t>HG202604130015-8</t>
  </si>
  <si>
    <t>沖應收聖州企業02月份股代收入</t>
  </si>
  <si>
    <t>HG202604130015-11</t>
  </si>
  <si>
    <t>沖應收欣桃天然02月份股代收入</t>
  </si>
  <si>
    <t>HC202604140014-1</t>
  </si>
  <si>
    <t>保瑞藥業-國內第5次無擔保轉換公司債案承銷手續費收入</t>
  </si>
  <si>
    <t>HG202603130062-9</t>
  </si>
  <si>
    <t>應收富邦一號02月份股代收入</t>
  </si>
  <si>
    <t>HG202603130062-15</t>
  </si>
  <si>
    <t>應收富邦二號02月份股代收入</t>
  </si>
  <si>
    <t>HG202603130062-27</t>
  </si>
  <si>
    <t>應收富邦建築02月份股代收入</t>
  </si>
  <si>
    <t>HG202603130062-29</t>
  </si>
  <si>
    <t>應收富邦公寓02月份股代收入</t>
  </si>
  <si>
    <t>HG202603130062-37</t>
  </si>
  <si>
    <t>應收富邦媒體02月份股代收入</t>
  </si>
  <si>
    <t>HG202603130062-45</t>
  </si>
  <si>
    <t>應收雄獅旅行02月份股代收入</t>
  </si>
  <si>
    <t>HG202603130062-73</t>
  </si>
  <si>
    <t>應收九太科技02月份股代收入</t>
  </si>
  <si>
    <t>HG202603130062-149</t>
  </si>
  <si>
    <t>應收台灣固網02月份股代收入</t>
  </si>
  <si>
    <t>HG202603130062-153</t>
  </si>
  <si>
    <t>應收富美康健02月份股代收入</t>
  </si>
  <si>
    <t>HG202603130062-173</t>
  </si>
  <si>
    <t>應收連加網路02月份股代收入</t>
  </si>
  <si>
    <t>HG202603130062-279</t>
  </si>
  <si>
    <t>應收富邦建設02月份股代收入</t>
  </si>
  <si>
    <t>HG202603130062-387</t>
  </si>
  <si>
    <t>應收翔耀實業02月份股代收入</t>
  </si>
  <si>
    <t>HG202603130062-407</t>
  </si>
  <si>
    <t>應收台灣大哥02月份股代收入</t>
  </si>
  <si>
    <t>HG202603130062-421</t>
  </si>
  <si>
    <t>應收台灣高速02月份股代收入</t>
  </si>
  <si>
    <t>HG202603310042-1</t>
  </si>
  <si>
    <t>提列3月份期貨佣金收入</t>
  </si>
  <si>
    <t>HG202603310049-1</t>
  </si>
  <si>
    <t>提列03月份FINI保管業務收入-富證香港</t>
  </si>
  <si>
    <t>52722648</t>
  </si>
  <si>
    <t>HG202603310131-1</t>
  </si>
  <si>
    <t>提列3月財管業務-富邦投信銷售服務收入</t>
  </si>
  <si>
    <t>HG202603310131-2</t>
  </si>
  <si>
    <t>提列3月財管業務-基金後收型手續費收入-富邦投信</t>
  </si>
  <si>
    <t>HG202603310132-1</t>
  </si>
  <si>
    <t>提列富邦投信-代銷03月基金手續費收入</t>
  </si>
  <si>
    <t>HG202603310132-2</t>
  </si>
  <si>
    <t>提列富邦投信-代銷03月基金管理費收入</t>
  </si>
  <si>
    <t>HG202603310132-3</t>
  </si>
  <si>
    <t>提列富邦投信-03月富邦ETF存量獎勵金</t>
  </si>
  <si>
    <t>HG202603310131-3</t>
  </si>
  <si>
    <t>HG202604080105-39</t>
  </si>
  <si>
    <t>應收富邦人壽04月份股代收入</t>
  </si>
  <si>
    <t>HG202604080105-49</t>
  </si>
  <si>
    <t>應收台北富邦04月份股代收入</t>
  </si>
  <si>
    <t>HG202604090031-3</t>
  </si>
  <si>
    <t>沖應收台灣大哥01月份股代收入</t>
  </si>
  <si>
    <t>HG202604100035-3</t>
  </si>
  <si>
    <t>沖應收台灣固網01月份股代收入</t>
  </si>
  <si>
    <t>HG202604100035-6</t>
  </si>
  <si>
    <t>沖應收翔耀實業01月份股代收入</t>
  </si>
  <si>
    <t>HG202604100035-9</t>
  </si>
  <si>
    <t>沖應收富邦一號02月份股代收入</t>
  </si>
  <si>
    <t>HG202604100035-12</t>
  </si>
  <si>
    <t>沖應收富邦二號02月份股代收入</t>
  </si>
  <si>
    <t>HG202604100035-14</t>
  </si>
  <si>
    <t>沖應收富邦建築02月份股代收入</t>
  </si>
  <si>
    <t>HG202604100035-16</t>
  </si>
  <si>
    <t>沖應收富邦公寓02月份股代收入</t>
  </si>
  <si>
    <t>HG202604100035-18</t>
  </si>
  <si>
    <t>沖應收富邦建設02月份股代收入</t>
  </si>
  <si>
    <t>HR202603120001-1</t>
  </si>
  <si>
    <t>花千惠─4/2與國泰投信餐會借支</t>
  </si>
  <si>
    <t>005759</t>
  </si>
  <si>
    <t>HR202603120002-1</t>
  </si>
  <si>
    <t>謝孟娟─2026Q1富邦證券企業日借支</t>
  </si>
  <si>
    <t>007393</t>
  </si>
  <si>
    <t>HR202603130001-1</t>
  </si>
  <si>
    <t>邱宗煜-3/13-3/20美國光通訊科技論壇借支</t>
  </si>
  <si>
    <t>006975</t>
  </si>
  <si>
    <t>HR202603130002-1</t>
  </si>
  <si>
    <t>許沛心-3/14-3/20美國Nvidia GTC 借支</t>
  </si>
  <si>
    <t>007506</t>
  </si>
  <si>
    <t>HR202604080011-1</t>
  </si>
  <si>
    <t>蔡智偉-台灣中油共用車車隊卡油資借支</t>
  </si>
  <si>
    <t>004790</t>
  </si>
  <si>
    <t>HG202603120026-8</t>
  </si>
  <si>
    <t>HG202603160029-6</t>
  </si>
  <si>
    <t>HG202603170034-1</t>
  </si>
  <si>
    <t>00687B</t>
  </si>
  <si>
    <t>HG202603170034-2</t>
  </si>
  <si>
    <t>HG202603170034-3</t>
  </si>
  <si>
    <t>HG202603170034-4</t>
  </si>
  <si>
    <t>HG202603170034-5</t>
  </si>
  <si>
    <t>00764B</t>
  </si>
  <si>
    <t>HG202603170034-6</t>
  </si>
  <si>
    <t>HG202603170034-7</t>
  </si>
  <si>
    <t>HG202603170034-8</t>
  </si>
  <si>
    <t>00779B</t>
  </si>
  <si>
    <t>HG202603170034-10</t>
  </si>
  <si>
    <t>00859B</t>
  </si>
  <si>
    <t>HG202603170034-11</t>
  </si>
  <si>
    <t>HG202603170034-12</t>
  </si>
  <si>
    <t>HG202603170034-13</t>
  </si>
  <si>
    <t>HG202603170034-14</t>
  </si>
  <si>
    <t>HG202603170034-15</t>
  </si>
  <si>
    <t>HG202603170034-17</t>
  </si>
  <si>
    <t>HG202603170034-18</t>
  </si>
  <si>
    <t>HG202603170034-19</t>
  </si>
  <si>
    <t>HG202603170034-20</t>
  </si>
  <si>
    <t>HG202603170034-21</t>
  </si>
  <si>
    <t>HG202603170034-23</t>
  </si>
  <si>
    <t>HG202603170034-24</t>
  </si>
  <si>
    <t>HG202603170034-25</t>
  </si>
  <si>
    <t>HG202603170034-26</t>
  </si>
  <si>
    <t>HG202603170034-28</t>
  </si>
  <si>
    <t>HG202603170034-29</t>
  </si>
  <si>
    <t>HG202603170034-30</t>
  </si>
  <si>
    <t>HG202603170034-31</t>
  </si>
  <si>
    <t>HG202603170034-32</t>
  </si>
  <si>
    <t>HG202603170034-36</t>
  </si>
  <si>
    <t>HG202603170034-37</t>
  </si>
  <si>
    <t>HG202603170034-38</t>
  </si>
  <si>
    <t>HG202603170034-39</t>
  </si>
  <si>
    <t>HG202603180039-1</t>
  </si>
  <si>
    <t>00710B</t>
  </si>
  <si>
    <t>HG202603180039-2</t>
  </si>
  <si>
    <t>00711B</t>
  </si>
  <si>
    <t>HG202603180039-3</t>
  </si>
  <si>
    <t>HG202603180039-4</t>
  </si>
  <si>
    <t>HG202603180039-5</t>
  </si>
  <si>
    <t>HG202603190039-1</t>
  </si>
  <si>
    <t>HG202603190039-2</t>
  </si>
  <si>
    <t>HG202603190039-3</t>
  </si>
  <si>
    <t>HG202603190039-4</t>
  </si>
  <si>
    <t>HG202603190039-5</t>
  </si>
  <si>
    <t>HG202603190039-6</t>
  </si>
  <si>
    <t>HG202603190039-7</t>
  </si>
  <si>
    <t>HG202603190039-8</t>
  </si>
  <si>
    <t>HG202603190039-9</t>
  </si>
  <si>
    <t>HG202603190039-10</t>
  </si>
  <si>
    <t>HG202603190039-11</t>
  </si>
  <si>
    <t>HG202603190039-12</t>
  </si>
  <si>
    <t>HG202603200036-1</t>
  </si>
  <si>
    <t>HG202603200036-2</t>
  </si>
  <si>
    <t>00751B</t>
  </si>
  <si>
    <t>HG202603200036-3</t>
  </si>
  <si>
    <t>HG202603200036-4</t>
  </si>
  <si>
    <t>HG202603200036-5</t>
  </si>
  <si>
    <t>HG202603200036-6</t>
  </si>
  <si>
    <t>HG202603200036-7</t>
  </si>
  <si>
    <t>HG202603200036-8</t>
  </si>
  <si>
    <t>HG202603230027-1</t>
  </si>
  <si>
    <t>00836B</t>
  </si>
  <si>
    <t>HG202603230027-2</t>
  </si>
  <si>
    <t>00857B</t>
  </si>
  <si>
    <t>HG202603230027-3</t>
  </si>
  <si>
    <t>HG202603230027-4</t>
  </si>
  <si>
    <t>HG202603230027-5</t>
  </si>
  <si>
    <t>HG202603240113-1</t>
  </si>
  <si>
    <t>HG202603250216-1</t>
  </si>
  <si>
    <t>HG202603250216-2</t>
  </si>
  <si>
    <t>HG202603250216-3</t>
  </si>
  <si>
    <t>HG202603250216-4</t>
  </si>
  <si>
    <t>HG202603250216-5</t>
  </si>
  <si>
    <t>HG202603260036-1</t>
  </si>
  <si>
    <t>HG202603260036-2</t>
  </si>
  <si>
    <t>HG202603260036-3</t>
  </si>
  <si>
    <t>HG202603260036-4</t>
  </si>
  <si>
    <t>HG202603260036-5</t>
  </si>
  <si>
    <t>HG202603260036-6</t>
  </si>
  <si>
    <t>HG202603260036-7</t>
  </si>
  <si>
    <t>HG202603260036-8</t>
  </si>
  <si>
    <t>HG202603260036-9</t>
  </si>
  <si>
    <t>HG202603260036-10</t>
  </si>
  <si>
    <t>HG202603260036-11</t>
  </si>
  <si>
    <t>HG202603260036-12</t>
  </si>
  <si>
    <t>HG202603260036-13</t>
  </si>
  <si>
    <t>HG202603260036-14</t>
  </si>
  <si>
    <t>HG202603260036-15</t>
  </si>
  <si>
    <t>HG202603260036-16</t>
  </si>
  <si>
    <t>HG202603260036-17</t>
  </si>
  <si>
    <t>HG202603260036-18</t>
  </si>
  <si>
    <t>HG202603260036-19</t>
  </si>
  <si>
    <t>HG202603260036-20</t>
  </si>
  <si>
    <t>HG202603260036-21</t>
  </si>
  <si>
    <t>HG202603260036-22</t>
  </si>
  <si>
    <t>HG202603260036-23</t>
  </si>
  <si>
    <t>HG202603260036-24</t>
  </si>
  <si>
    <t>HG202603260036-25</t>
  </si>
  <si>
    <t>HG202603260036-26</t>
  </si>
  <si>
    <t>HG202603260036-27</t>
  </si>
  <si>
    <t>HG202603260036-28</t>
  </si>
  <si>
    <t>HG202603260036-29</t>
  </si>
  <si>
    <t>HG202603260036-30</t>
  </si>
  <si>
    <t>HG202603260036-31</t>
  </si>
  <si>
    <t>HG202603270037-1</t>
  </si>
  <si>
    <t>HG202603270037-2</t>
  </si>
  <si>
    <t>HG202603270037-3</t>
  </si>
  <si>
    <t>HG202603270037-4</t>
  </si>
  <si>
    <t>HG202603270037-5</t>
  </si>
  <si>
    <t>HG202603270037-6</t>
  </si>
  <si>
    <t>HG202603270037-7</t>
  </si>
  <si>
    <t>HG202603270037-8</t>
  </si>
  <si>
    <t>HG202603270037-9</t>
  </si>
  <si>
    <t>HG202603270037-10</t>
  </si>
  <si>
    <t>HG202603270037-11</t>
  </si>
  <si>
    <t>HG202603270037-12</t>
  </si>
  <si>
    <t>HG202603270037-13</t>
  </si>
  <si>
    <t>HG202603270037-14</t>
  </si>
  <si>
    <t>HG202603270037-15</t>
  </si>
  <si>
    <t>HG202603270037-16</t>
  </si>
  <si>
    <t>HG202603270037-17</t>
  </si>
  <si>
    <t>HG202603270037-18</t>
  </si>
  <si>
    <t>HG202603270037-19</t>
  </si>
  <si>
    <t>HG202603270037-20</t>
  </si>
  <si>
    <t>HG202603300037-1</t>
  </si>
  <si>
    <t>HG202603310088-1</t>
  </si>
  <si>
    <t>提列:3月代徵交易稅獎金-營業部</t>
  </si>
  <si>
    <t>HG202603310096-1</t>
  </si>
  <si>
    <t>提列115/03 Jefferies佣金(特別服務費)</t>
  </si>
  <si>
    <t>HG202603310103-1</t>
  </si>
  <si>
    <t>HG202603310103-2</t>
  </si>
  <si>
    <t>00966B</t>
  </si>
  <si>
    <t>HG202603310103-3</t>
  </si>
  <si>
    <t>00986B</t>
  </si>
  <si>
    <t>HG202603310103-4</t>
  </si>
  <si>
    <t>HG202603310103-5</t>
  </si>
  <si>
    <t>HG202603310105-1</t>
  </si>
  <si>
    <t>提列:115/03代徵交易稅獎金-錯帳</t>
  </si>
  <si>
    <t>HG202604010104-1</t>
  </si>
  <si>
    <t>00950B</t>
  </si>
  <si>
    <t>HG202604010104-2</t>
  </si>
  <si>
    <t>00959B</t>
  </si>
  <si>
    <t>HG202604010104-3</t>
  </si>
  <si>
    <t>00983B</t>
  </si>
  <si>
    <t>HG202604010104-4</t>
  </si>
  <si>
    <t>00984B</t>
  </si>
  <si>
    <t>HG202604010104-5</t>
  </si>
  <si>
    <t>HG202604010104-6</t>
  </si>
  <si>
    <t>HG202604010104-7</t>
  </si>
  <si>
    <t>HG202604010104-8</t>
  </si>
  <si>
    <t>HG202604010104-9</t>
  </si>
  <si>
    <t>HG202604010104-10</t>
  </si>
  <si>
    <t>HG202604010104-11</t>
  </si>
  <si>
    <t>HG202604010104-12</t>
  </si>
  <si>
    <t>HG202604010104-13</t>
  </si>
  <si>
    <t>HG202604010104-14</t>
  </si>
  <si>
    <t>HG202604020026-1</t>
  </si>
  <si>
    <t>HG202604020026-2</t>
  </si>
  <si>
    <t>HG202604020026-3</t>
  </si>
  <si>
    <t>00985B</t>
  </si>
  <si>
    <t>HG202604020026-4</t>
  </si>
  <si>
    <t>HG202604080106-1</t>
  </si>
  <si>
    <t>HG202604080106-2</t>
  </si>
  <si>
    <t>HG202604090026-1</t>
  </si>
  <si>
    <t>HG202604090026-2</t>
  </si>
  <si>
    <t>HG202604090026-3</t>
  </si>
  <si>
    <t>HG202604090026-4</t>
  </si>
  <si>
    <t>HG202604090026-5</t>
  </si>
  <si>
    <t>HG202604090026-6</t>
  </si>
  <si>
    <t>HG202604090026-7</t>
  </si>
  <si>
    <t>HG202604090026-8</t>
  </si>
  <si>
    <t>HG202604090026-9</t>
  </si>
  <si>
    <t>HG202604090026-10</t>
  </si>
  <si>
    <t>HG202604090026-11</t>
  </si>
  <si>
    <t>HG202604090026-12</t>
  </si>
  <si>
    <t>HG202604090026-13</t>
  </si>
  <si>
    <t>HG202604100034-1</t>
  </si>
  <si>
    <t>HG202604100034-2</t>
  </si>
  <si>
    <t>HG202604100034-3</t>
  </si>
  <si>
    <t>HG202604100034-4</t>
  </si>
  <si>
    <t>HG202604100034-5</t>
  </si>
  <si>
    <t>HG202604080085-1</t>
  </si>
  <si>
    <t>應收左營3月場租收入－華南鳳山</t>
  </si>
  <si>
    <t>HG202604080085-3</t>
  </si>
  <si>
    <t>應收頭份3月場租收入－華銀頭份</t>
  </si>
  <si>
    <t>HG202604080085-5</t>
  </si>
  <si>
    <t>應收南員林3月場租收入－華銀員林</t>
  </si>
  <si>
    <t>HG202604080085-7</t>
  </si>
  <si>
    <t>應收台東3月場租收入－華南台東</t>
  </si>
  <si>
    <t>HG202604080085-9</t>
  </si>
  <si>
    <t>應收宜蘭3月場租收入－華銀宜蘭</t>
  </si>
  <si>
    <t>HG202604080085-11</t>
  </si>
  <si>
    <t>應收竹北3月場租收入－渣打竹北</t>
  </si>
  <si>
    <t>HG202604080085-13</t>
  </si>
  <si>
    <t>應收中壢3月場租收入－渣打國際</t>
  </si>
  <si>
    <t>HG202604080085-15</t>
  </si>
  <si>
    <t>應收斗六3月場租收入－土銀斗六</t>
  </si>
  <si>
    <t>HG202604080085-17</t>
  </si>
  <si>
    <t>應收虎尾3月場租收入－京城虎尾</t>
  </si>
  <si>
    <t>HG202604080085-19</t>
  </si>
  <si>
    <t>應收虎尾3月場租收入－土銀虎尾</t>
  </si>
  <si>
    <t>HG202604080085-21</t>
  </si>
  <si>
    <t>應收北港3月場租收入－彰銀北港分行</t>
  </si>
  <si>
    <t>HG202604080085-23</t>
  </si>
  <si>
    <t>應收公益3月場租收入－彰化銀行台中</t>
  </si>
  <si>
    <t>HG202604080085-25</t>
  </si>
  <si>
    <t>應收南京3月場租收入－世華南東</t>
  </si>
  <si>
    <t>HG202604080085-27</t>
  </si>
  <si>
    <t>應收屏東3月場租收入－世華屏東</t>
  </si>
  <si>
    <t>HG202604080085-29</t>
  </si>
  <si>
    <t>應收豐原3月場租收入－上海豐原</t>
  </si>
  <si>
    <t>HG202604080085-31</t>
  </si>
  <si>
    <t>應收樹林3月場租收入－樹林農會</t>
  </si>
  <si>
    <t>HG202604080085-33</t>
  </si>
  <si>
    <t>應收三峽3月場租收入－三峽農會</t>
  </si>
  <si>
    <t>HG202604080085-35</t>
  </si>
  <si>
    <t>應收竹東3月場租收入－合作金庫竹東</t>
  </si>
  <si>
    <t>HG202604080085-37</t>
  </si>
  <si>
    <t>應收花蓮3月場租收入－花蓮一信</t>
  </si>
  <si>
    <t>HG202604080085-39</t>
  </si>
  <si>
    <t>應收花蓮4月場租收入－花蓮二信</t>
  </si>
  <si>
    <t>HD202603050054-1</t>
  </si>
  <si>
    <t>代墊人壽-115.02台灣電力電費</t>
  </si>
  <si>
    <t>HD202603130024-1</t>
  </si>
  <si>
    <t>代墊銀行-115.03台灣自來水水費(七賢分行</t>
  </si>
  <si>
    <t>HG202603170011-1</t>
  </si>
  <si>
    <t>1月份台北富邦銀行場地使用費收入</t>
  </si>
  <si>
    <t>HD202603200051-134</t>
  </si>
  <si>
    <t>代墊期貨-115.02.01-115.02.28遠傳電信費</t>
  </si>
  <si>
    <t>HD202603230006-1</t>
  </si>
  <si>
    <t>代墊銀行-115.03台灣電力電費(羅東分行)</t>
  </si>
  <si>
    <t>HD202603230006-2</t>
  </si>
  <si>
    <t>代墊銀行-115.03台灣電力電費(七賢分行)</t>
  </si>
  <si>
    <t>HD202603230012-134</t>
  </si>
  <si>
    <t>代墊期貨-115.02中華電信F</t>
  </si>
  <si>
    <t>HD202603230023-134</t>
  </si>
  <si>
    <t>代墊期貨-115.02中華電信G</t>
  </si>
  <si>
    <t>HG202603250014-59</t>
  </si>
  <si>
    <t>台灣固網代付郵資-01月份</t>
  </si>
  <si>
    <t>HG202603250014-130</t>
  </si>
  <si>
    <t>台灣大哥代付郵資-01月份</t>
  </si>
  <si>
    <t>HG202603250091-16</t>
  </si>
  <si>
    <t>雄獅旅行代付郵資-02月份</t>
  </si>
  <si>
    <t>HG202603250091-58</t>
  </si>
  <si>
    <t>連加網路代付郵資-02月份</t>
  </si>
  <si>
    <t>HG202603250091-123</t>
  </si>
  <si>
    <t>台灣大哥代付郵資-02月份</t>
  </si>
  <si>
    <t>HG202603250091-130</t>
  </si>
  <si>
    <t>台灣高速代付郵資-02月份</t>
  </si>
  <si>
    <t>HG202603260001-1</t>
  </si>
  <si>
    <t>提列富邦期貨115/03資訊業務管理維護費</t>
  </si>
  <si>
    <t>HG202603260001-3</t>
  </si>
  <si>
    <t>提列富邦投顧115/03資訊業務管理維護費</t>
  </si>
  <si>
    <t>HD202603260004-135</t>
  </si>
  <si>
    <t>代墊期貨-115.03台固電信費</t>
  </si>
  <si>
    <t>HD202603270016-17</t>
  </si>
  <si>
    <t>00CA3</t>
  </si>
  <si>
    <t>代墊期貨1140813-1150512 Bloomberg中華</t>
  </si>
  <si>
    <t>HG202603310009-1</t>
  </si>
  <si>
    <t>提列3月份台北富邦銀行場地使用費收入</t>
  </si>
  <si>
    <t>HG202603310026-1</t>
  </si>
  <si>
    <t>提列03月份銀行大公收入(信用卡)</t>
  </si>
  <si>
    <t>HG202603310026-3</t>
  </si>
  <si>
    <t>提列03月份銀行大公收入(房貸)</t>
  </si>
  <si>
    <t>HG202603310026-5</t>
  </si>
  <si>
    <t>提列03月份銀行大公收入(信貸)</t>
  </si>
  <si>
    <t>HG202603310055-1</t>
  </si>
  <si>
    <t>提列03月份共同行銷收入-產險</t>
  </si>
  <si>
    <t>HG202603310058-1</t>
  </si>
  <si>
    <t>提列03月份共同行銷收入-人壽</t>
  </si>
  <si>
    <t>HG202603310059-1</t>
  </si>
  <si>
    <t>補提列12~02月份共同行銷收入-人壽</t>
  </si>
  <si>
    <t>HG202603310054-1</t>
  </si>
  <si>
    <t>提列03月份銀證共銷收入</t>
  </si>
  <si>
    <t>HG202603310065-1</t>
  </si>
  <si>
    <t>提列2026.03交割結算基金息-集中</t>
  </si>
  <si>
    <t>HG202603310065-3</t>
  </si>
  <si>
    <t>提列2026.03交割結算基金息-櫃檯</t>
  </si>
  <si>
    <t>HG202604010080-1</t>
  </si>
  <si>
    <t>2月份台北富邦銀行場地使用費收入</t>
  </si>
  <si>
    <t>HG202604070012-1</t>
  </si>
  <si>
    <t>2026/01月引介客戶承作理財業務收益</t>
  </si>
  <si>
    <t>HG202604070012-2</t>
  </si>
  <si>
    <t>2026/02月引介客戶承作理財業務收益</t>
  </si>
  <si>
    <t>HG202604090031-2</t>
  </si>
  <si>
    <t>沖台灣大哥代付郵資-01月份</t>
  </si>
  <si>
    <t>HG202604100035-2</t>
  </si>
  <si>
    <t>沖台灣固網代付郵資-01月份</t>
  </si>
  <si>
    <t>HG202603250014-96</t>
  </si>
  <si>
    <t>富泰企業代付郵資-01月份</t>
  </si>
  <si>
    <t>HG202603250091-97</t>
  </si>
  <si>
    <t>意訊永焱代付郵資-02月份</t>
  </si>
  <si>
    <t>12843723</t>
  </si>
  <si>
    <t>HG202603250091-71</t>
  </si>
  <si>
    <t>昱嘉科技代付郵資-02月份</t>
  </si>
  <si>
    <t>HG202603250014-122</t>
  </si>
  <si>
    <t>美麗華開代付郵資-01月份</t>
  </si>
  <si>
    <t>HG202603250014-7</t>
  </si>
  <si>
    <t>怡康軟体代付郵資-01月份</t>
  </si>
  <si>
    <t>HG202603250091-75</t>
  </si>
  <si>
    <t>科明儀器代付郵資-02月份</t>
  </si>
  <si>
    <t>HG202603250014-15</t>
  </si>
  <si>
    <t>科嶠工業代付郵資-01月份</t>
  </si>
  <si>
    <t>HG202603250091-117</t>
  </si>
  <si>
    <t>旭東機械代付郵資-02月份</t>
  </si>
  <si>
    <t>HG202603250091-48</t>
  </si>
  <si>
    <t>兆捷科技代付郵資-02月份</t>
  </si>
  <si>
    <t>HG202603250091-74</t>
  </si>
  <si>
    <t>樂居科技代付郵資-02月份</t>
  </si>
  <si>
    <t>HG202603250091-110</t>
  </si>
  <si>
    <t>百德機械代付郵資-02月份</t>
  </si>
  <si>
    <t>HG202603250091-60</t>
  </si>
  <si>
    <t>飛鳥車用代付郵資-02月份</t>
  </si>
  <si>
    <t>HG202603250091-80</t>
  </si>
  <si>
    <t>日盛金融代付郵資-02月份</t>
  </si>
  <si>
    <t>70796826</t>
  </si>
  <si>
    <t>HG202603250091-43</t>
  </si>
  <si>
    <t>天鉞電子代付郵資-02月份</t>
  </si>
  <si>
    <t>HG202603250091-85</t>
  </si>
  <si>
    <t>東聯光訊代付郵資-02月份</t>
  </si>
  <si>
    <t>HG202603250014-94</t>
  </si>
  <si>
    <t>信音企業代付郵資-01月份</t>
  </si>
  <si>
    <t>HG202603250091-122</t>
  </si>
  <si>
    <t>三立電視代付郵資-02月份</t>
  </si>
  <si>
    <t>HG202603250091-26</t>
  </si>
  <si>
    <t>互動國際代付郵資-02月份</t>
  </si>
  <si>
    <t>HG202603250091-86</t>
  </si>
  <si>
    <t>微端科技代付郵資-02月份</t>
  </si>
  <si>
    <t>HG202603250091-79</t>
  </si>
  <si>
    <t>英屬開曼代付郵資-02月份</t>
  </si>
  <si>
    <t>HG202603250014-86</t>
  </si>
  <si>
    <t>南緯實業代付郵資-01月份</t>
  </si>
  <si>
    <t>HG202603250091-100</t>
  </si>
  <si>
    <t>大同半導代付郵資-02月份</t>
  </si>
  <si>
    <t>HG202603250091-67</t>
  </si>
  <si>
    <t>燁鋒輕合代付郵資-02月份</t>
  </si>
  <si>
    <t>HG202603250091-57</t>
  </si>
  <si>
    <t>合世生醫代付郵資-02月份</t>
  </si>
  <si>
    <t>HG202603250091-52</t>
  </si>
  <si>
    <t>宏　遊戲代付郵資-02月份</t>
  </si>
  <si>
    <t>HG202603250091-53</t>
  </si>
  <si>
    <t>有萬科技代付郵資-02月份</t>
  </si>
  <si>
    <t>HG202603250091-35</t>
  </si>
  <si>
    <t>台灣博世代付郵資-02月份</t>
  </si>
  <si>
    <t>HG202603250091-108</t>
  </si>
  <si>
    <t>元始生技代付郵資-02月份</t>
  </si>
  <si>
    <t>HG202603250014-45</t>
  </si>
  <si>
    <t>八貫企業代付郵資-01月份</t>
  </si>
  <si>
    <t>HG202603250014-80</t>
  </si>
  <si>
    <t>昱嘉科技代付郵資-01月份</t>
  </si>
  <si>
    <t>HG202603250014-2</t>
  </si>
  <si>
    <t>濱川企業代付郵資-01月份</t>
  </si>
  <si>
    <t>HG202603250014-6</t>
  </si>
  <si>
    <t>錩新科技代付郵資-01月份</t>
  </si>
  <si>
    <t>HG202603250014-12</t>
  </si>
  <si>
    <t>閎康科技代付郵資-01月份</t>
  </si>
  <si>
    <t>HG202603250014-47</t>
  </si>
  <si>
    <t>瓦城泰統代付郵資-01月份</t>
  </si>
  <si>
    <t>HG202603250014-110</t>
  </si>
  <si>
    <t>鄉林建設代付郵資-01月份</t>
  </si>
  <si>
    <t>HG202603250091-90</t>
  </si>
  <si>
    <t>時報文化代付郵資-02月份</t>
  </si>
  <si>
    <t>HG202603250091-115</t>
  </si>
  <si>
    <t>冠亞生技代付郵資-02月份</t>
  </si>
  <si>
    <t>HG202603250091-61</t>
  </si>
  <si>
    <t>暄達醫學代付郵資-02月份</t>
  </si>
  <si>
    <t>HG202603250014-121</t>
  </si>
  <si>
    <t>頂程國際代付郵資-01月份</t>
  </si>
  <si>
    <t>HG202603250091-116</t>
  </si>
  <si>
    <t>拍檔科技代付郵資-02月份</t>
  </si>
  <si>
    <t>HG202603250091-12</t>
  </si>
  <si>
    <t>盈正豫順代付郵資-02月份</t>
  </si>
  <si>
    <t>HG202603250014-123</t>
  </si>
  <si>
    <t>玖鼎電力代付郵資-01月份</t>
  </si>
  <si>
    <t>HG202603250091-37</t>
  </si>
  <si>
    <t>利百景股代付郵資-02月份</t>
  </si>
  <si>
    <t>HG202603250014-97</t>
  </si>
  <si>
    <t>時報文化代付郵資-01月份</t>
  </si>
  <si>
    <t>HG202603250091-120</t>
  </si>
  <si>
    <t>盛新材料代付郵資-02月份</t>
  </si>
  <si>
    <t>HG202603250091-7</t>
  </si>
  <si>
    <t>博磊科技代付郵資-02月份</t>
  </si>
  <si>
    <t>HG202603250091-36</t>
  </si>
  <si>
    <t>通用矽酮代付郵資-02月份</t>
  </si>
  <si>
    <t>HG202603250014-53</t>
  </si>
  <si>
    <t>宏璟建設代付郵資-01月份</t>
  </si>
  <si>
    <t>HG202603250091-101</t>
  </si>
  <si>
    <t>寶緯工業代付郵資-02月份</t>
  </si>
  <si>
    <t>HG202603250091-30</t>
  </si>
  <si>
    <t>忠正股份代付郵資-02月份</t>
  </si>
  <si>
    <t>HG202603250091-70</t>
  </si>
  <si>
    <t>全景軟體代付郵資-02月份</t>
  </si>
  <si>
    <t>16325089</t>
  </si>
  <si>
    <t>HG202603250091-76</t>
  </si>
  <si>
    <t>富宇翔電代付郵資-02月份</t>
  </si>
  <si>
    <t>HG202603250091-42</t>
  </si>
  <si>
    <t>綠基企業代付郵資-02月份</t>
  </si>
  <si>
    <t>HG202603250091-81</t>
  </si>
  <si>
    <t>龍巖股份代付郵資-02月份</t>
  </si>
  <si>
    <t>HG202603250014-61</t>
  </si>
  <si>
    <t>宏　遊戲代付郵資-01月份</t>
  </si>
  <si>
    <t>HG202603250091-8</t>
  </si>
  <si>
    <t>實盈股份代付郵資-02月份</t>
  </si>
  <si>
    <t>HG202603250091-113</t>
  </si>
  <si>
    <t>歐格電子代付郵資-02月份</t>
  </si>
  <si>
    <t>HG202603250014-37</t>
  </si>
  <si>
    <t>艾笛森光代付郵資-01月份</t>
  </si>
  <si>
    <t>HG202603250091-19</t>
  </si>
  <si>
    <t>鴻威光電代付郵資-02月份</t>
  </si>
  <si>
    <t>HG202603250091-2</t>
  </si>
  <si>
    <t>弘裕企業代付郵資-02月份</t>
  </si>
  <si>
    <t>HG202603250091-13</t>
  </si>
  <si>
    <t>泓瀚科技代付郵資-02月份</t>
  </si>
  <si>
    <t>HG202603250091-59</t>
  </si>
  <si>
    <t>聖州企業代付郵資-02月份</t>
  </si>
  <si>
    <t>HG202603250091-21</t>
  </si>
  <si>
    <t>資拓宏宇代付郵資-02月份</t>
  </si>
  <si>
    <t>HG202603250091-4</t>
  </si>
  <si>
    <t>錩新科技代付郵資-02月份</t>
  </si>
  <si>
    <t>HG202603250014-23</t>
  </si>
  <si>
    <t>輝創電子代付郵資-01月份</t>
  </si>
  <si>
    <t>HG202603250091-114</t>
  </si>
  <si>
    <t>沛美生醫代付郵資-02月份</t>
  </si>
  <si>
    <t>HG202603250091-82</t>
  </si>
  <si>
    <t>麗升能源代付郵資-02月份</t>
  </si>
  <si>
    <t>HG202603250091-63</t>
  </si>
  <si>
    <t>臺北醫學代付郵資-02月份</t>
  </si>
  <si>
    <t>HG202603250014-129</t>
  </si>
  <si>
    <t>三立電視代付郵資-01月份</t>
  </si>
  <si>
    <t>HG202603250091-31</t>
  </si>
  <si>
    <t>新典自動代付郵資-02月份</t>
  </si>
  <si>
    <t>HG202603250014-38</t>
  </si>
  <si>
    <t>安捷航空代付郵資-01月份</t>
  </si>
  <si>
    <t>HG202603250091-14</t>
  </si>
  <si>
    <t>祺驊股份代付郵資-02月份</t>
  </si>
  <si>
    <t>HG202603250091-91</t>
  </si>
  <si>
    <t>幃翔精密代付郵資-02月份</t>
  </si>
  <si>
    <t>HG202603250091-126</t>
  </si>
  <si>
    <t>程曦資訊代付郵資-02月份</t>
  </si>
  <si>
    <t>HG202603250014-11</t>
  </si>
  <si>
    <t>嘉威生活代付郵資-01月份</t>
  </si>
  <si>
    <t>HG202603250091-104</t>
  </si>
  <si>
    <t>同亨科技代付郵資-02月份</t>
  </si>
  <si>
    <t>HG202603250091-103</t>
  </si>
  <si>
    <t>安馳科技代付郵資-02月份</t>
  </si>
  <si>
    <t>HG202603250014-28</t>
  </si>
  <si>
    <t>鼎元光電代付郵資-01月份</t>
  </si>
  <si>
    <t>HG202603250091-27</t>
  </si>
  <si>
    <t>寒舍餐旅代付郵資-02月份</t>
  </si>
  <si>
    <t>HG202603250091-22</t>
  </si>
  <si>
    <t>杏一醫療代付郵資-02月份</t>
  </si>
  <si>
    <t>HG202603250091-38</t>
  </si>
  <si>
    <t>文麥股份代付郵資-02月份</t>
  </si>
  <si>
    <t>HG202603250091-94</t>
  </si>
  <si>
    <t>永達保險代付郵資-02月份</t>
  </si>
  <si>
    <t>HG202603250014-17</t>
  </si>
  <si>
    <t>品安科技代付郵資-01月份</t>
  </si>
  <si>
    <t>HG202603250091-1</t>
  </si>
  <si>
    <t>豪展醫療代付郵資-02月份</t>
  </si>
  <si>
    <t>HG202603250091-15</t>
  </si>
  <si>
    <t>科嶠工業代付郵資-02月份</t>
  </si>
  <si>
    <t>HG202603250091-111</t>
  </si>
  <si>
    <t>大園汽電代付郵資-02月份</t>
  </si>
  <si>
    <t>HG202603250091-127</t>
  </si>
  <si>
    <t>大統新創代付郵資-02月份</t>
  </si>
  <si>
    <t>HG202603250091-17</t>
  </si>
  <si>
    <t>品安科技代付郵資-02月份</t>
  </si>
  <si>
    <t>HG202603250091-54</t>
  </si>
  <si>
    <t>秀育企業代付郵資-02月份</t>
  </si>
  <si>
    <t>HG202603250091-95</t>
  </si>
  <si>
    <t>達運光電代付郵資-02月份</t>
  </si>
  <si>
    <t>HG202603250014-83</t>
  </si>
  <si>
    <t>富宇翔電代付郵資-01月份</t>
  </si>
  <si>
    <t>HG202603250091-87</t>
  </si>
  <si>
    <t>信音企業代付郵資-02月份</t>
  </si>
  <si>
    <t>HG202603250091-33</t>
  </si>
  <si>
    <t>艾笛森光代付郵資-02月份</t>
  </si>
  <si>
    <t>HG202603250014-137</t>
  </si>
  <si>
    <t>宏捷科技代付郵資-01月份</t>
  </si>
  <si>
    <t>HG202603250091-20</t>
  </si>
  <si>
    <t>弘帆股份代付郵資-02月份</t>
  </si>
  <si>
    <t>HG202603250091-6</t>
  </si>
  <si>
    <t>富邦二號代付郵資-02月份</t>
  </si>
  <si>
    <t>HG202603250091-3</t>
  </si>
  <si>
    <t>富邦一號代付郵資-02月份</t>
  </si>
  <si>
    <t>HG202603250091-41</t>
  </si>
  <si>
    <t>瓦城泰統代付郵資-02月份</t>
  </si>
  <si>
    <t>HG202603250091-39</t>
  </si>
  <si>
    <t>八貫企業代付郵資-02月份</t>
  </si>
  <si>
    <t>HG202603250091-84</t>
  </si>
  <si>
    <t>中華電線代付郵資-02月份</t>
  </si>
  <si>
    <t>HG202603250014-3</t>
  </si>
  <si>
    <t>圓剛科技代付郵資-01月份</t>
  </si>
  <si>
    <t>HG202603250091-46</t>
  </si>
  <si>
    <t>宏璟建設代付郵資-02月份</t>
  </si>
  <si>
    <t>HG202603250091-83</t>
  </si>
  <si>
    <t>台灣富綢代付郵資-02月份</t>
  </si>
  <si>
    <t>HG202603250014-51</t>
  </si>
  <si>
    <t>建德工業代付郵資-01月份</t>
  </si>
  <si>
    <t>HG202603250014-62</t>
  </si>
  <si>
    <t>岱宇國際代付郵資-01月份</t>
  </si>
  <si>
    <t>HG202603250091-118</t>
  </si>
  <si>
    <t>國泰一號代付郵資-02月份</t>
  </si>
  <si>
    <t>HG202603250091-69</t>
  </si>
  <si>
    <t>中化控股代付郵資-02月份</t>
  </si>
  <si>
    <t>HG202603250091-34</t>
  </si>
  <si>
    <t>雲豹能源代付郵資-02月份</t>
  </si>
  <si>
    <t>HG202603250014-27</t>
  </si>
  <si>
    <t>一零四資代付郵資-01月份</t>
  </si>
  <si>
    <t>HG202603250091-55</t>
  </si>
  <si>
    <t>兆聯實業代付郵資-02月份</t>
  </si>
  <si>
    <t>HG202603250091-11</t>
  </si>
  <si>
    <t>閎康科技代付郵資-02月份</t>
  </si>
  <si>
    <t>HG202603250091-93</t>
  </si>
  <si>
    <t>大中鋼鐵代付郵資-02月份</t>
  </si>
  <si>
    <t>HG202603250091-5</t>
  </si>
  <si>
    <t>怡康軟体代付郵資-02月份</t>
  </si>
  <si>
    <t>HG202603250091-24</t>
  </si>
  <si>
    <t>鼎元光電代付郵資-02月份</t>
  </si>
  <si>
    <t>HG202603250091-131</t>
  </si>
  <si>
    <t>聯鈞光電代付郵資-02月份</t>
  </si>
  <si>
    <t>HG202603250091-10</t>
  </si>
  <si>
    <t>嘉威生活代付郵資-02月份</t>
  </si>
  <si>
    <t>HG202603250091-25</t>
  </si>
  <si>
    <t>擎邦國際代付郵資-02月份</t>
  </si>
  <si>
    <t>HG202603250091-102</t>
  </si>
  <si>
    <t>台通光電代付郵資-02月份</t>
  </si>
  <si>
    <t>HG202603250091-18</t>
  </si>
  <si>
    <t>世豐螺絲代付郵資-02月份</t>
  </si>
  <si>
    <t>HG202603250091-51</t>
  </si>
  <si>
    <t>奇偶科技代付郵資-02月份</t>
  </si>
  <si>
    <t>HG202603250091-125</t>
  </si>
  <si>
    <t>倚碩科技代付郵資-02月份</t>
  </si>
  <si>
    <t>HG202603250091-65</t>
  </si>
  <si>
    <t>博晶醫電代付郵資-02月份</t>
  </si>
  <si>
    <t>HG202603250091-99</t>
  </si>
  <si>
    <t>聯合骨科代付郵資-02月份</t>
  </si>
  <si>
    <t>HG202603250091-98</t>
  </si>
  <si>
    <t>逸昌科技代付郵資-02月份</t>
  </si>
  <si>
    <t>HG202603250091-23</t>
  </si>
  <si>
    <t>大江生醫代付郵資-02月份</t>
  </si>
  <si>
    <t>HG202603250091-105</t>
  </si>
  <si>
    <t>達欣工程代付郵資-02月份</t>
  </si>
  <si>
    <t>HG202603250091-89</t>
  </si>
  <si>
    <t>僑威科技代付郵資-02月份</t>
  </si>
  <si>
    <t>HG202603250091-129</t>
  </si>
  <si>
    <t>宏捷科技代付郵資-02月份</t>
  </si>
  <si>
    <t>HG202603250091-45</t>
  </si>
  <si>
    <t>慶鴻機電代付郵資-02月份</t>
  </si>
  <si>
    <t>HG202603250091-92</t>
  </si>
  <si>
    <t>欣桃天然代付郵資-02月份</t>
  </si>
  <si>
    <t>HD202603250313-1</t>
  </si>
  <si>
    <t>台北富邦─台北分公司房屋押租保證金(補</t>
  </si>
  <si>
    <t>HC202604020029-7</t>
  </si>
  <si>
    <t>沖4/2認購3587閎康現金增資股票(319股*160元)</t>
  </si>
  <si>
    <t>HB202604020003-1</t>
  </si>
  <si>
    <t>暫付1150331成交現股當沖強制回補</t>
  </si>
  <si>
    <t>HB202604070044-6</t>
  </si>
  <si>
    <t>沖暫付1150331成交現股當沖強制回補款   0</t>
  </si>
  <si>
    <t>HG202604090031-8</t>
  </si>
  <si>
    <t>沖燁鋒輕合代付郵資-02月份</t>
  </si>
  <si>
    <t>HG202604100035-21</t>
  </si>
  <si>
    <t>沖鼎元光電代付郵資-10月份</t>
  </si>
  <si>
    <t>HG202604100035-77</t>
  </si>
  <si>
    <t>沖兆聯實業代付郵資-02月份</t>
  </si>
  <si>
    <t>HG202604100035-56</t>
  </si>
  <si>
    <t>沖國泰一號代付郵資-02月份</t>
  </si>
  <si>
    <t>HG202604100035-33</t>
  </si>
  <si>
    <t>沖建德工業代付郵資-01月份</t>
  </si>
  <si>
    <t>HG202604100035-87</t>
  </si>
  <si>
    <t>沖中華電線代付郵資-02月份</t>
  </si>
  <si>
    <t>HG202604100035-8</t>
  </si>
  <si>
    <t>沖富邦一號代付郵資-02月份</t>
  </si>
  <si>
    <t>HG202604100035-11</t>
  </si>
  <si>
    <t>沖富邦二號代付郵資-02月份</t>
  </si>
  <si>
    <t>HG202604100035-40</t>
  </si>
  <si>
    <t>沖艾笛森光代付郵資-01月份</t>
  </si>
  <si>
    <t>HG202604100035-74</t>
  </si>
  <si>
    <t>沖通用矽酮代付郵資-02月份</t>
  </si>
  <si>
    <t>HG202604100035-90</t>
  </si>
  <si>
    <t>沖元始生技代付郵資-02月份</t>
  </si>
  <si>
    <t>HG202604100035-93</t>
  </si>
  <si>
    <t>沖勁耘科技代付郵資-12月份</t>
  </si>
  <si>
    <t>HG202604100035-67</t>
  </si>
  <si>
    <t>沖互動國際代付郵資-02月份</t>
  </si>
  <si>
    <t>HG202604100035-95</t>
  </si>
  <si>
    <t>沖英屬開曼代付郵資-02月份</t>
  </si>
  <si>
    <t>HG202604100035-81</t>
  </si>
  <si>
    <t>沖飛鳥車用代付郵資-02月份</t>
  </si>
  <si>
    <t>HC202604130038-35</t>
  </si>
  <si>
    <t>沖04/13認購保瑞CB5案包銷公司債(37張*107.99元)</t>
  </si>
  <si>
    <t>HG202604130015-10</t>
  </si>
  <si>
    <t>沖欣桃天然代付郵資-02月份</t>
  </si>
  <si>
    <t>HG202604130015-7</t>
  </si>
  <si>
    <t>沖聖州企業代付郵資-02月份</t>
  </si>
  <si>
    <t>HE202604130013-3</t>
  </si>
  <si>
    <t>HE202604130013-1</t>
  </si>
  <si>
    <t>HE202604130013-7</t>
  </si>
  <si>
    <t>HE202604130013-5</t>
  </si>
  <si>
    <t>HG202604150007-1</t>
  </si>
  <si>
    <t>暫付4月職委會員工生日補助金</t>
  </si>
  <si>
    <t>HD202604150011-59</t>
  </si>
  <si>
    <t>115年02月勞退新制：員工提繳</t>
  </si>
  <si>
    <t>HD202604270001-1</t>
  </si>
  <si>
    <t>明東實業─明東實業-建國分公司房屋押租</t>
  </si>
  <si>
    <t>11326855</t>
  </si>
  <si>
    <t>HG202603250184-1</t>
  </si>
  <si>
    <t>HG202603310030-1</t>
  </si>
  <si>
    <t>麗寶建設─新莊分公司房屋押租保證金</t>
  </si>
  <si>
    <t>20861420</t>
  </si>
  <si>
    <t>HG202604070009-1</t>
  </si>
  <si>
    <t>天闊有限─和美分公司房屋押租保證</t>
  </si>
  <si>
    <t>HC202603100013-1</t>
  </si>
  <si>
    <t>3/10期交所IRS結算保證金存入</t>
  </si>
  <si>
    <t>HC202603130019-26</t>
  </si>
  <si>
    <t>HC202603130019-2</t>
  </si>
  <si>
    <t>HC202603160013-58</t>
  </si>
  <si>
    <t>應付IFS息</t>
  </si>
  <si>
    <t>HC202603160013-3</t>
  </si>
  <si>
    <t>HG202603180007-1</t>
  </si>
  <si>
    <t>允鵬建設-BOSS大樓停車位押租保證金</t>
  </si>
  <si>
    <t>HC202603180011-23</t>
  </si>
  <si>
    <t>HC202603180011-2</t>
  </si>
  <si>
    <t>HC202603190003-19</t>
  </si>
  <si>
    <t>HC202603190003-2</t>
  </si>
  <si>
    <t>HC202603200007-1</t>
  </si>
  <si>
    <t>HC202603230012-3</t>
  </si>
  <si>
    <t>HC202603230012-66</t>
  </si>
  <si>
    <t>HC202603240005-19</t>
  </si>
  <si>
    <t>HC202603240005-2</t>
  </si>
  <si>
    <t>HC202603250004-3</t>
  </si>
  <si>
    <t>HC202603260005-1</t>
  </si>
  <si>
    <t>HC202603270002-28</t>
  </si>
  <si>
    <t>HC202603270002-2</t>
  </si>
  <si>
    <t>HC202603300007-36</t>
  </si>
  <si>
    <t>HC202603300007-4</t>
  </si>
  <si>
    <t>HC202603310063-6</t>
  </si>
  <si>
    <t>11503IRS累計校正利息</t>
  </si>
  <si>
    <t>HC202603310063-2</t>
  </si>
  <si>
    <t>HC202603310035-3</t>
  </si>
  <si>
    <t>HC202603310035-1</t>
  </si>
  <si>
    <t>HC202603310063-3</t>
  </si>
  <si>
    <t>HC202603310063-7</t>
  </si>
  <si>
    <t>HC202603310003-2</t>
  </si>
  <si>
    <t>HC202604010005-4</t>
  </si>
  <si>
    <t>HC202604010012-2</t>
  </si>
  <si>
    <t>HC202604020002-1</t>
  </si>
  <si>
    <t>HC202604070004-3</t>
  </si>
  <si>
    <t>HC202604070004-66</t>
  </si>
  <si>
    <t>HC202604080007-2</t>
  </si>
  <si>
    <t>HC202604090006-3</t>
  </si>
  <si>
    <t>HC202604130004-2</t>
  </si>
  <si>
    <t>HC202604140013-2</t>
  </si>
  <si>
    <t>4/14期交所IRS結算保證金存入</t>
  </si>
  <si>
    <t>HC202604140002-2</t>
  </si>
  <si>
    <t>HC202604150007-3</t>
  </si>
  <si>
    <t>HC202604150007-37</t>
  </si>
  <si>
    <t>HG202603130043-2</t>
  </si>
  <si>
    <t>預收秀茂-04月建國北路二段3巷17號B2車位租金</t>
  </si>
  <si>
    <t>94014219</t>
  </si>
  <si>
    <t>HG202603230031-2</t>
  </si>
  <si>
    <t>預收林長達-04月建國北路二段3巷17號B2車位租金</t>
  </si>
  <si>
    <t>A123155312</t>
  </si>
  <si>
    <t>HG202603250207-4</t>
  </si>
  <si>
    <t>預收台灣固網04月租金收入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</si>
</sst>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,##0.000_ "/>
    <numFmt numFmtId="177" formatCode="#,##0.000;#,##0.000;\ ;"/>
    <numFmt numFmtId="178" formatCode="#,##0.000;#,##0.000;0.000;"/>
    <numFmt numFmtId="179" formatCode="#,##0.000_);\(#,##0.000\)"/>
    <numFmt numFmtId="180" formatCode="##,##0.00"/>
    <numFmt numFmtId="181" formatCode="#,##0_);[Red]\(#,##0\)"/>
    <numFmt numFmtId="182" formatCode="###0.0"/>
    <numFmt numFmtId="183" formatCode="###0.00"/>
    <numFmt numFmtId="184" formatCode="00%"/>
    <numFmt numFmtId="185" formatCode="yyyy/m/d;@"/>
    <numFmt numFmtId="186" formatCode="#,##0.000;#,##0.000;"/>
  </numFmts>
  <fonts count="1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2"/>
      <name val="標楷體"/>
      <family val="4"/>
      <charset val="136"/>
    </font>
    <font>
      <b/>
      <sz val="11"/>
      <name val="新細明體"/>
      <family val="1"/>
      <charset val="136"/>
      <scheme val="minor"/>
    </font>
    <font>
      <sz val="10"/>
      <color theme="1"/>
      <name val="Microsoft JhengHei Light"/>
      <family val="2"/>
      <charset val="136"/>
    </font>
    <font>
      <sz val="10"/>
      <color rgb="FF0070C0"/>
      <name val="Microsoft JhengHei Light"/>
      <family val="2"/>
      <charset val="136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rgb="FFFFFFFF"/>
      <name val="細明體"/>
      <family val="3"/>
      <charset val="136"/>
    </font>
    <font>
      <sz val="12"/>
      <color theme="1"/>
      <name val="新細明體"/>
      <family val="1"/>
      <charset val="136"/>
      <scheme val="major"/>
    </font>
    <font>
      <b/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right" vertical="center"/>
    </xf>
    <xf numFmtId="178" fontId="3" fillId="0" borderId="0" xfId="0" applyNumberFormat="1" applyFont="1">
      <alignment vertical="center"/>
    </xf>
    <xf numFmtId="0" fontId="3" fillId="0" borderId="0" xfId="0" applyFont="1">
      <alignment vertical="center"/>
    </xf>
    <xf numFmtId="179" fontId="3" fillId="0" borderId="0" xfId="0" applyNumberFormat="1" applyFont="1">
      <alignment vertical="center"/>
    </xf>
    <xf numFmtId="182" fontId="0" fillId="0" borderId="0" xfId="0" applyNumberFormat="1">
      <alignment vertical="center"/>
    </xf>
    <xf numFmtId="182" fontId="0" fillId="0" borderId="2" xfId="0" applyNumberFormat="1" applyBorder="1">
      <alignment vertical="center"/>
    </xf>
    <xf numFmtId="183" fontId="0" fillId="0" borderId="0" xfId="0" applyNumberFormat="1">
      <alignment vertical="center"/>
    </xf>
    <xf numFmtId="183" fontId="0" fillId="0" borderId="2" xfId="0" applyNumberFormat="1" applyBorder="1">
      <alignment vertical="center"/>
    </xf>
    <xf numFmtId="184" fontId="0" fillId="0" borderId="0" xfId="0" applyNumberFormat="1">
      <alignment vertical="center"/>
    </xf>
    <xf numFmtId="184" fontId="0" fillId="0" borderId="2" xfId="0" applyNumberFormat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3" xfId="0" applyFont="1" applyBorder="1" applyAlignment="1">
      <alignment horizontal="center" vertical="center"/>
    </xf>
    <xf numFmtId="0" fontId="6" fillId="2" borderId="1" xfId="0" applyFont="1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81" fontId="6" fillId="0" borderId="1" xfId="0" applyNumberFormat="1" applyFont="1" applyBorder="1">
      <alignment vertical="center"/>
    </xf>
    <xf numFmtId="176" fontId="6" fillId="0" borderId="0" xfId="0" applyNumberFormat="1" applyFont="1">
      <alignment vertical="center"/>
    </xf>
    <xf numFmtId="4" fontId="4" fillId="0" borderId="0" xfId="0" applyNumberFormat="1" applyFont="1" applyAlignment="1">
      <alignment horizontal="center" vertical="center"/>
    </xf>
    <xf numFmtId="181" fontId="6" fillId="0" borderId="0" xfId="0" applyNumberFormat="1" applyFont="1">
      <alignment vertical="center"/>
    </xf>
    <xf numFmtId="176" fontId="6" fillId="0" borderId="1" xfId="0" applyNumberFormat="1" applyFont="1" applyBorder="1">
      <alignment vertical="center"/>
    </xf>
    <xf numFmtId="49" fontId="6" fillId="0" borderId="1" xfId="0" applyNumberFormat="1" applyFont="1" applyBorder="1">
      <alignment vertical="center"/>
    </xf>
    <xf numFmtId="180" fontId="6" fillId="0" borderId="1" xfId="0" applyNumberFormat="1" applyFont="1" applyBorder="1">
      <alignment vertical="center"/>
    </xf>
    <xf numFmtId="14" fontId="6" fillId="5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1" fillId="4" borderId="1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2" fillId="0" borderId="5" xfId="0" applyFont="1" applyBorder="1" applyAlignment="1">
      <alignment horizontal="center" vertical="center"/>
    </xf>
    <xf numFmtId="49" fontId="12" fillId="0" borderId="2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13" fillId="0" borderId="2" xfId="0" applyNumberFormat="1" applyFont="1" applyBorder="1" applyAlignment="1">
      <alignment horizontal="left"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186" fontId="0" fillId="0" borderId="2" xfId="0" applyNumberFormat="1" applyBorder="1">
      <alignment vertical="center"/>
    </xf>
    <xf numFmtId="178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178" fontId="0" fillId="0" borderId="2" xfId="0" applyNumberFormat="1" applyBorder="1" applyAlignment="1">
      <alignment horizontal="right" vertical="center"/>
    </xf>
    <xf numFmtId="14" fontId="6" fillId="4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3" fillId="0" borderId="2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right" vertical="center"/>
    </xf>
    <xf numFmtId="178" fontId="3" fillId="0" borderId="2" xfId="0" applyNumberFormat="1" applyFont="1" applyBorder="1">
      <alignment vertical="center"/>
    </xf>
    <xf numFmtId="0" fontId="3" fillId="0" borderId="2" xfId="0" applyFont="1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6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vertical="center"/>
    </xf>
    <xf numFmtId="185" fontId="8" fillId="0" borderId="0" xfId="0" applyNumberFormat="1" applyFont="1" applyBorder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186" fontId="8" fillId="0" borderId="0" xfId="0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horizontal="right" vertical="center"/>
    </xf>
    <xf numFmtId="177" fontId="8" fillId="0" borderId="0" xfId="0" applyNumberFormat="1" applyFont="1" applyBorder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8</xdr:row>
          <xdr:rowOff>76200</xdr:rowOff>
        </xdr:from>
        <xdr:to>
          <xdr:col>2</xdr:col>
          <xdr:colOff>1276350</xdr:colOff>
          <xdr:row>9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%20(x86)\Infor\Query%20and%20Analysis%2011\Query%20and%20Analysis\QAA.xla" TargetMode="External"/><Relationship Id="rId1" Type="http://schemas.openxmlformats.org/officeDocument/2006/relationships/externalLinkPath" Target="/Program%20Files%20(x86)/Infor/Query%20and%20Analysis%2011/Query%20and%20Analysis/QA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QAA_DR"/>
      <definedName name="QAA_RL"/>
      <definedName name="QAA_S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B2"/>
  <sheetViews>
    <sheetView topLeftCell="B1" workbookViewId="0">
      <selection activeCell="B1" sqref="B1"/>
    </sheetView>
  </sheetViews>
  <sheetFormatPr defaultRowHeight="16.5"/>
  <cols>
    <col min="1" max="1" width="13" bestFit="1" customWidth="1"/>
  </cols>
  <sheetData>
    <row r="1" spans="1:2">
      <c r="A1" t="s">
        <v>108</v>
      </c>
      <c r="B1" t="s">
        <v>111</v>
      </c>
    </row>
    <row r="2" spans="1:2">
      <c r="A2" t="s">
        <v>109</v>
      </c>
      <c r="B2" t="s">
        <v>112</v>
      </c>
    </row>
  </sheetData>
  <phoneticPr fontId="1" type="noConversion"/>
  <dataValidations count="2">
    <dataValidation type="textLength" errorStyle="information" allowBlank="1" showInputMessage="1" showErrorMessage="1" error="XLBVal:8=_x000d__x000a_XLBRowCount:8=4_x000d__x000a_XLBColCount:8=19_x000d__x000a_" sqref="B1" xr:uid="{00000000-0002-0000-0100-000000000000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B2" xr:uid="{00000000-0002-0000-0100-000001000000}">
      <formula1>0</formula1>
      <formula2>300</formula2>
    </dataValidation>
  </dataValidations>
  <pageMargins left="0.7" right="0.7" top="0.75" bottom="0.75" header="0.3" footer="0.3"/>
  <customProperties>
    <customPr name="QAA_DRILLPATH_NODE_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"/>
  <sheetViews>
    <sheetView workbookViewId="0">
      <selection activeCell="B1" sqref="B1"/>
    </sheetView>
  </sheetViews>
  <sheetFormatPr defaultRowHeight="16.5"/>
  <sheetData/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E7"/>
  <sheetViews>
    <sheetView workbookViewId="0">
      <selection activeCell="A7" sqref="A7"/>
    </sheetView>
  </sheetViews>
  <sheetFormatPr defaultRowHeight="16.5"/>
  <cols>
    <col min="1" max="1" width="12.875" bestFit="1" customWidth="1"/>
    <col min="2" max="2" width="10.5" bestFit="1" customWidth="1"/>
    <col min="3" max="3" width="8.875" bestFit="1" customWidth="1"/>
    <col min="4" max="4" width="10" bestFit="1" customWidth="1"/>
    <col min="5" max="5" width="8.375" bestFit="1" customWidth="1"/>
  </cols>
  <sheetData>
    <row r="1" spans="1:5">
      <c r="A1" s="38" t="s">
        <v>97</v>
      </c>
      <c r="B1" s="39" t="s">
        <v>98</v>
      </c>
      <c r="C1" s="40" t="s">
        <v>99</v>
      </c>
      <c r="D1" s="40" t="s">
        <v>100</v>
      </c>
      <c r="E1" s="40" t="s">
        <v>101</v>
      </c>
    </row>
    <row r="2" spans="1:5">
      <c r="A2" s="36" t="s">
        <v>102</v>
      </c>
      <c r="B2" s="42">
        <v>38331</v>
      </c>
      <c r="C2" s="10">
        <v>1234</v>
      </c>
      <c r="D2" s="12">
        <v>1618</v>
      </c>
      <c r="E2" s="14">
        <v>0.24</v>
      </c>
    </row>
    <row r="3" spans="1:5">
      <c r="A3" s="36" t="s">
        <v>103</v>
      </c>
      <c r="B3" s="42">
        <v>38371</v>
      </c>
      <c r="C3" s="10">
        <v>-2500.1</v>
      </c>
      <c r="D3" s="12">
        <v>-3141.59</v>
      </c>
      <c r="E3" s="14">
        <v>-0.31</v>
      </c>
    </row>
    <row r="4" spans="1:5">
      <c r="A4" s="36" t="s">
        <v>104</v>
      </c>
      <c r="B4" s="42">
        <v>38321</v>
      </c>
      <c r="C4" s="10">
        <v>0.5</v>
      </c>
      <c r="D4" s="12">
        <v>1414.21</v>
      </c>
      <c r="E4" s="14">
        <v>0.13</v>
      </c>
    </row>
    <row r="5" spans="1:5">
      <c r="A5" s="36" t="s">
        <v>105</v>
      </c>
      <c r="B5" s="42">
        <v>38466</v>
      </c>
      <c r="C5" s="10">
        <v>99.4</v>
      </c>
      <c r="D5" s="12">
        <v>2718.28</v>
      </c>
      <c r="E5" s="14">
        <v>0.13</v>
      </c>
    </row>
    <row r="6" spans="1:5">
      <c r="A6" s="36" t="s">
        <v>106</v>
      </c>
      <c r="B6" s="42">
        <v>38471</v>
      </c>
      <c r="C6" s="10">
        <v>5.4</v>
      </c>
      <c r="D6" s="12">
        <v>1202.05</v>
      </c>
      <c r="E6" s="14">
        <v>0.82</v>
      </c>
    </row>
    <row r="7" spans="1:5" ht="17.25" thickBot="1">
      <c r="A7" s="41" t="s">
        <v>107</v>
      </c>
      <c r="B7" s="43"/>
      <c r="C7" s="11">
        <f>SUM(C2:C6)</f>
        <v>-1160.7999999999997</v>
      </c>
      <c r="D7" s="13">
        <f>SUM(D2:D6)</f>
        <v>3810.95</v>
      </c>
      <c r="E7" s="15">
        <f>SUM(E2:E6)</f>
        <v>1.01</v>
      </c>
    </row>
  </sheetData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89"/>
  <sheetViews>
    <sheetView workbookViewId="0"/>
  </sheetViews>
  <sheetFormatPr defaultRowHeight="16.5"/>
  <sheetData>
    <row r="1" spans="1:2">
      <c r="A1" t="s">
        <v>140</v>
      </c>
      <c r="B1" t="s">
        <v>141</v>
      </c>
    </row>
    <row r="2" spans="1:2">
      <c r="A2" t="s">
        <v>143</v>
      </c>
      <c r="B2" t="s">
        <v>144</v>
      </c>
    </row>
    <row r="3" spans="1:2">
      <c r="A3" t="s">
        <v>145</v>
      </c>
      <c r="B3" t="s">
        <v>144</v>
      </c>
    </row>
    <row r="4" spans="1:2">
      <c r="A4" t="s">
        <v>146</v>
      </c>
      <c r="B4" t="s">
        <v>144</v>
      </c>
    </row>
    <row r="5" spans="1:2">
      <c r="A5" t="s">
        <v>147</v>
      </c>
      <c r="B5" t="s">
        <v>144</v>
      </c>
    </row>
    <row r="6" spans="1:2">
      <c r="A6" t="s">
        <v>148</v>
      </c>
      <c r="B6" t="s">
        <v>144</v>
      </c>
    </row>
    <row r="7" spans="1:2">
      <c r="A7" t="s">
        <v>149</v>
      </c>
      <c r="B7" t="s">
        <v>144</v>
      </c>
    </row>
    <row r="8" spans="1:2">
      <c r="A8" t="s">
        <v>150</v>
      </c>
      <c r="B8" t="s">
        <v>144</v>
      </c>
    </row>
    <row r="9" spans="1:2">
      <c r="A9" t="s">
        <v>151</v>
      </c>
      <c r="B9" t="s">
        <v>144</v>
      </c>
    </row>
    <row r="10" spans="1:2">
      <c r="A10" t="s">
        <v>152</v>
      </c>
      <c r="B10" t="s">
        <v>144</v>
      </c>
    </row>
    <row r="11" spans="1:2">
      <c r="A11" t="s">
        <v>153</v>
      </c>
      <c r="B11" t="s">
        <v>144</v>
      </c>
    </row>
    <row r="12" spans="1:2">
      <c r="A12" t="s">
        <v>154</v>
      </c>
      <c r="B12" t="s">
        <v>144</v>
      </c>
    </row>
    <row r="13" spans="1:2">
      <c r="A13" t="s">
        <v>155</v>
      </c>
      <c r="B13" t="s">
        <v>144</v>
      </c>
    </row>
    <row r="14" spans="1:2">
      <c r="A14" t="s">
        <v>156</v>
      </c>
      <c r="B14" t="s">
        <v>144</v>
      </c>
    </row>
    <row r="15" spans="1:2">
      <c r="A15" t="s">
        <v>157</v>
      </c>
      <c r="B15" t="s">
        <v>144</v>
      </c>
    </row>
    <row r="16" spans="1:2">
      <c r="A16" t="s">
        <v>158</v>
      </c>
      <c r="B16" t="s">
        <v>144</v>
      </c>
    </row>
    <row r="17" spans="1:2">
      <c r="A17" t="s">
        <v>159</v>
      </c>
      <c r="B17" t="s">
        <v>144</v>
      </c>
    </row>
    <row r="18" spans="1:2">
      <c r="A18" t="s">
        <v>160</v>
      </c>
      <c r="B18" t="s">
        <v>144</v>
      </c>
    </row>
    <row r="19" spans="1:2">
      <c r="A19" t="s">
        <v>161</v>
      </c>
      <c r="B19" t="s">
        <v>144</v>
      </c>
    </row>
    <row r="20" spans="1:2">
      <c r="A20" t="s">
        <v>162</v>
      </c>
      <c r="B20" t="s">
        <v>144</v>
      </c>
    </row>
    <row r="21" spans="1:2">
      <c r="A21" t="s">
        <v>163</v>
      </c>
      <c r="B21" t="s">
        <v>144</v>
      </c>
    </row>
    <row r="22" spans="1:2">
      <c r="A22" t="s">
        <v>164</v>
      </c>
      <c r="B22" t="s">
        <v>144</v>
      </c>
    </row>
    <row r="23" spans="1:2">
      <c r="A23" t="s">
        <v>165</v>
      </c>
      <c r="B23" t="s">
        <v>144</v>
      </c>
    </row>
    <row r="24" spans="1:2">
      <c r="A24" t="s">
        <v>166</v>
      </c>
      <c r="B24" t="s">
        <v>144</v>
      </c>
    </row>
    <row r="25" spans="1:2">
      <c r="A25" t="s">
        <v>167</v>
      </c>
      <c r="B25" t="s">
        <v>144</v>
      </c>
    </row>
    <row r="26" spans="1:2">
      <c r="A26" t="s">
        <v>168</v>
      </c>
      <c r="B26" t="s">
        <v>144</v>
      </c>
    </row>
    <row r="27" spans="1:2">
      <c r="A27" t="s">
        <v>169</v>
      </c>
      <c r="B27" t="s">
        <v>144</v>
      </c>
    </row>
    <row r="28" spans="1:2">
      <c r="A28" t="s">
        <v>170</v>
      </c>
      <c r="B28" t="s">
        <v>144</v>
      </c>
    </row>
    <row r="29" spans="1:2">
      <c r="A29" t="s">
        <v>171</v>
      </c>
      <c r="B29" t="s">
        <v>144</v>
      </c>
    </row>
    <row r="30" spans="1:2">
      <c r="A30" t="s">
        <v>172</v>
      </c>
      <c r="B30" t="s">
        <v>144</v>
      </c>
    </row>
    <row r="31" spans="1:2">
      <c r="A31" t="s">
        <v>173</v>
      </c>
      <c r="B31" t="s">
        <v>144</v>
      </c>
    </row>
    <row r="32" spans="1:2">
      <c r="A32" t="s">
        <v>174</v>
      </c>
      <c r="B32" t="s">
        <v>144</v>
      </c>
    </row>
    <row r="33" spans="1:2">
      <c r="A33" t="s">
        <v>175</v>
      </c>
      <c r="B33" t="s">
        <v>144</v>
      </c>
    </row>
    <row r="34" spans="1:2">
      <c r="A34" t="s">
        <v>176</v>
      </c>
      <c r="B34" t="s">
        <v>144</v>
      </c>
    </row>
    <row r="35" spans="1:2">
      <c r="A35" t="s">
        <v>177</v>
      </c>
      <c r="B35" t="s">
        <v>144</v>
      </c>
    </row>
    <row r="36" spans="1:2">
      <c r="A36" t="s">
        <v>178</v>
      </c>
      <c r="B36" t="s">
        <v>144</v>
      </c>
    </row>
    <row r="37" spans="1:2">
      <c r="A37" t="s">
        <v>179</v>
      </c>
      <c r="B37" t="s">
        <v>144</v>
      </c>
    </row>
    <row r="38" spans="1:2">
      <c r="A38" t="s">
        <v>180</v>
      </c>
      <c r="B38" t="s">
        <v>144</v>
      </c>
    </row>
    <row r="39" spans="1:2">
      <c r="A39" t="s">
        <v>181</v>
      </c>
      <c r="B39" t="s">
        <v>144</v>
      </c>
    </row>
    <row r="40" spans="1:2">
      <c r="A40" t="s">
        <v>182</v>
      </c>
      <c r="B40" t="s">
        <v>144</v>
      </c>
    </row>
    <row r="41" spans="1:2">
      <c r="A41" t="s">
        <v>183</v>
      </c>
      <c r="B41" t="s">
        <v>144</v>
      </c>
    </row>
    <row r="42" spans="1:2">
      <c r="A42" t="s">
        <v>184</v>
      </c>
      <c r="B42" t="s">
        <v>185</v>
      </c>
    </row>
    <row r="43" spans="1:2">
      <c r="A43" t="s">
        <v>186</v>
      </c>
      <c r="B43" t="s">
        <v>187</v>
      </c>
    </row>
    <row r="44" spans="1:2">
      <c r="A44" t="s">
        <v>188</v>
      </c>
      <c r="B44" t="s">
        <v>187</v>
      </c>
    </row>
    <row r="45" spans="1:2">
      <c r="A45" t="s">
        <v>189</v>
      </c>
      <c r="B45" t="s">
        <v>190</v>
      </c>
    </row>
    <row r="46" spans="1:2">
      <c r="A46" t="s">
        <v>191</v>
      </c>
      <c r="B46" t="s">
        <v>185</v>
      </c>
    </row>
    <row r="47" spans="1:2">
      <c r="A47" t="s">
        <v>192</v>
      </c>
      <c r="B47" t="s">
        <v>193</v>
      </c>
    </row>
    <row r="48" spans="1:2">
      <c r="A48" t="s">
        <v>194</v>
      </c>
      <c r="B48" t="s">
        <v>144</v>
      </c>
    </row>
    <row r="49" spans="1:2">
      <c r="A49" t="s">
        <v>195</v>
      </c>
      <c r="B49" t="s">
        <v>144</v>
      </c>
    </row>
    <row r="50" spans="1:2">
      <c r="A50" t="s">
        <v>196</v>
      </c>
      <c r="B50" t="s">
        <v>193</v>
      </c>
    </row>
    <row r="51" spans="1:2">
      <c r="A51" t="s">
        <v>198</v>
      </c>
      <c r="B51" t="s">
        <v>193</v>
      </c>
    </row>
    <row r="52" spans="1:2">
      <c r="A52" t="s">
        <v>199</v>
      </c>
      <c r="B52" t="s">
        <v>190</v>
      </c>
    </row>
    <row r="53" spans="1:2">
      <c r="A53" t="s">
        <v>200</v>
      </c>
      <c r="B53" t="s">
        <v>190</v>
      </c>
    </row>
    <row r="54" spans="1:2">
      <c r="A54" t="s">
        <v>201</v>
      </c>
      <c r="B54" t="s">
        <v>190</v>
      </c>
    </row>
    <row r="55" spans="1:2">
      <c r="A55" t="s">
        <v>202</v>
      </c>
      <c r="B55" t="s">
        <v>203</v>
      </c>
    </row>
    <row r="56" spans="1:2">
      <c r="A56" t="s">
        <v>204</v>
      </c>
      <c r="B56" t="s">
        <v>205</v>
      </c>
    </row>
    <row r="57" spans="1:2">
      <c r="A57" t="s">
        <v>119</v>
      </c>
      <c r="B57" t="s">
        <v>116</v>
      </c>
    </row>
    <row r="58" spans="1:2">
      <c r="A58" t="s">
        <v>120</v>
      </c>
      <c r="B58" t="s">
        <v>116</v>
      </c>
    </row>
    <row r="59" spans="1:2">
      <c r="A59" t="s">
        <v>121</v>
      </c>
      <c r="B59" t="s">
        <v>116</v>
      </c>
    </row>
    <row r="60" spans="1:2">
      <c r="A60" t="s">
        <v>122</v>
      </c>
      <c r="B60" t="s">
        <v>116</v>
      </c>
    </row>
    <row r="61" spans="1:2">
      <c r="A61" t="s">
        <v>123</v>
      </c>
      <c r="B61" t="s">
        <v>116</v>
      </c>
    </row>
    <row r="62" spans="1:2">
      <c r="A62" t="s">
        <v>124</v>
      </c>
      <c r="B62" t="s">
        <v>116</v>
      </c>
    </row>
    <row r="63" spans="1:2">
      <c r="A63" t="s">
        <v>125</v>
      </c>
      <c r="B63" t="s">
        <v>116</v>
      </c>
    </row>
    <row r="64" spans="1:2">
      <c r="A64" t="s">
        <v>126</v>
      </c>
      <c r="B64" t="s">
        <v>110</v>
      </c>
    </row>
    <row r="65" spans="1:2">
      <c r="A65" t="s">
        <v>127</v>
      </c>
      <c r="B65" t="s">
        <v>116</v>
      </c>
    </row>
    <row r="66" spans="1:2">
      <c r="A66" t="s">
        <v>129</v>
      </c>
      <c r="B66" t="s">
        <v>116</v>
      </c>
    </row>
    <row r="67" spans="1:2">
      <c r="A67" t="s">
        <v>130</v>
      </c>
      <c r="B67" t="s">
        <v>116</v>
      </c>
    </row>
    <row r="68" spans="1:2">
      <c r="A68" t="s">
        <v>131</v>
      </c>
      <c r="B68" t="s">
        <v>116</v>
      </c>
    </row>
    <row r="69" spans="1:2">
      <c r="A69" t="s">
        <v>132</v>
      </c>
      <c r="B69" t="s">
        <v>116</v>
      </c>
    </row>
    <row r="70" spans="1:2">
      <c r="A70" t="s">
        <v>133</v>
      </c>
      <c r="B70" t="s">
        <v>116</v>
      </c>
    </row>
    <row r="71" spans="1:2">
      <c r="A71" t="s">
        <v>134</v>
      </c>
      <c r="B71" t="s">
        <v>116</v>
      </c>
    </row>
    <row r="72" spans="1:2">
      <c r="A72" t="s">
        <v>135</v>
      </c>
      <c r="B72" t="s">
        <v>116</v>
      </c>
    </row>
    <row r="73" spans="1:2">
      <c r="A73" t="s">
        <v>136</v>
      </c>
      <c r="B73" t="s">
        <v>116</v>
      </c>
    </row>
    <row r="74" spans="1:2">
      <c r="A74" t="s">
        <v>137</v>
      </c>
      <c r="B74" t="s">
        <v>116</v>
      </c>
    </row>
    <row r="75" spans="1:2">
      <c r="A75" t="s">
        <v>138</v>
      </c>
      <c r="B75" t="s">
        <v>116</v>
      </c>
    </row>
    <row r="76" spans="1:2">
      <c r="A76" t="s">
        <v>139</v>
      </c>
      <c r="B76" t="s">
        <v>116</v>
      </c>
    </row>
    <row r="77" spans="1:2">
      <c r="A77" t="s">
        <v>208</v>
      </c>
      <c r="B77" t="s">
        <v>209</v>
      </c>
    </row>
    <row r="78" spans="1:2">
      <c r="A78" t="s">
        <v>210</v>
      </c>
      <c r="B78" t="s">
        <v>211</v>
      </c>
    </row>
    <row r="79" spans="1:2">
      <c r="A79" t="s">
        <v>212</v>
      </c>
      <c r="B79" t="s">
        <v>213</v>
      </c>
    </row>
    <row r="80" spans="1:2">
      <c r="A80" t="s">
        <v>216</v>
      </c>
      <c r="B80" t="s">
        <v>217</v>
      </c>
    </row>
    <row r="81" spans="1:2">
      <c r="A81" t="s">
        <v>218</v>
      </c>
      <c r="B81" t="s">
        <v>219</v>
      </c>
    </row>
    <row r="82" spans="1:2">
      <c r="A82" t="s">
        <v>220</v>
      </c>
      <c r="B82" t="s">
        <v>217</v>
      </c>
    </row>
    <row r="83" spans="1:2">
      <c r="A83" t="s">
        <v>221</v>
      </c>
      <c r="B83" t="s">
        <v>219</v>
      </c>
    </row>
    <row r="84" spans="1:2">
      <c r="A84" t="s">
        <v>222</v>
      </c>
      <c r="B84" t="s">
        <v>223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228</v>
      </c>
    </row>
    <row r="89" spans="1:2">
      <c r="A89" t="s">
        <v>232</v>
      </c>
      <c r="B89" t="s">
        <v>230</v>
      </c>
    </row>
  </sheetData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999"/>
  <sheetViews>
    <sheetView tabSelected="1" workbookViewId="0">
      <selection activeCell="B9" sqref="B9"/>
    </sheetView>
  </sheetViews>
  <sheetFormatPr defaultColWidth="9" defaultRowHeight="13.5"/>
  <cols>
    <col min="1" max="1" width="13.875" style="18" bestFit="1" customWidth="1"/>
    <col min="2" max="2" width="22.625" style="22" bestFit="1" customWidth="1"/>
    <col min="3" max="3" width="22.5" style="22" customWidth="1"/>
    <col min="4" max="5" width="3.875" style="18" customWidth="1"/>
    <col min="6" max="6" width="9" style="18" bestFit="1" customWidth="1"/>
    <col min="7" max="7" width="24.25" style="18" bestFit="1" customWidth="1"/>
    <col min="8" max="8" width="12.25" style="26" bestFit="1" customWidth="1"/>
    <col min="9" max="9" width="16.125" style="27" bestFit="1" customWidth="1"/>
    <col min="10" max="11" width="3" style="18" customWidth="1"/>
    <col min="12" max="12" width="5.125" style="18" bestFit="1" customWidth="1"/>
    <col min="13" max="13" width="8.25" style="18" bestFit="1" customWidth="1"/>
    <col min="14" max="16384" width="9" style="18"/>
  </cols>
  <sheetData>
    <row r="1" spans="1:13">
      <c r="A1" s="16" t="s">
        <v>0</v>
      </c>
      <c r="B1" s="17" t="s">
        <v>238</v>
      </c>
      <c r="C1" s="57" t="str">
        <f>[1]!QAA_RL("1,2,SS6,BU,F={P}1,K=DbC,F={P}2,K=/BU/1,E=0,O=/BU/5",TargetCell,B1,B1)</f>
        <v>富邦綜合證券股份有限公司總公司</v>
      </c>
      <c r="F1" s="16" t="str">
        <f>[1]!QAA_SR("1,2,SS6,LA,F={P}1,K=DbC,F={P}2,K=/LA/Ldg,F={P}3,T={P}4,K=/LA/AccCde,F={P}5,T={P}6,K=/LA/Prd,E=0,O=/LA/AccCde,E=0,O=/LA/CA/Nme,E=1,O=/LA/BseAmt,RT=-4154,RF=111111001,AF=0,TP=,EA=0",M_BU,M_LDG,M_AC,M_AC,M_PRD_FROM,M_PRD_TO)</f>
        <v>科目代碼</v>
      </c>
      <c r="G1" s="16" t="s">
        <v>214</v>
      </c>
      <c r="H1" s="16" t="s">
        <v>215</v>
      </c>
      <c r="I1" s="30" t="s">
        <v>21</v>
      </c>
      <c r="L1" s="18" t="s">
        <v>22</v>
      </c>
      <c r="M1" s="18" t="s">
        <v>23</v>
      </c>
    </row>
    <row r="2" spans="1:13">
      <c r="A2" s="16" t="s">
        <v>16</v>
      </c>
      <c r="B2" s="17" t="s">
        <v>19</v>
      </c>
      <c r="C2" s="19"/>
      <c r="F2" s="31" t="s">
        <v>1465</v>
      </c>
      <c r="G2" s="31" t="s">
        <v>1466</v>
      </c>
      <c r="H2" s="32">
        <v>3123216</v>
      </c>
      <c r="I2" s="30">
        <v>0</v>
      </c>
      <c r="L2" s="18" t="s">
        <v>24</v>
      </c>
      <c r="M2" s="18" t="s">
        <v>25</v>
      </c>
    </row>
    <row r="3" spans="1:13">
      <c r="A3" s="16" t="s">
        <v>1</v>
      </c>
      <c r="B3" s="17" t="s">
        <v>142</v>
      </c>
      <c r="C3" s="17" t="s">
        <v>2046</v>
      </c>
      <c r="F3" s="31" t="s">
        <v>309</v>
      </c>
      <c r="G3" s="31" t="s">
        <v>310</v>
      </c>
      <c r="H3" s="32">
        <v>35423227</v>
      </c>
      <c r="I3" s="30">
        <v>0</v>
      </c>
      <c r="L3" s="18" t="s">
        <v>26</v>
      </c>
      <c r="M3" s="18" t="s">
        <v>27</v>
      </c>
    </row>
    <row r="4" spans="1:13">
      <c r="A4" s="20" t="s">
        <v>4</v>
      </c>
      <c r="B4" s="21" t="str">
        <f>IF(RIGHT(M_PRD_FROM,2)*1=1,LEFT(M_PRD_FROM,4)-1&amp;"/012",M_PRD_FROM-1)</f>
        <v>1989/012</v>
      </c>
      <c r="F4" s="31" t="s">
        <v>1022</v>
      </c>
      <c r="G4" s="31" t="s">
        <v>1023</v>
      </c>
      <c r="H4" s="32">
        <v>0</v>
      </c>
      <c r="I4" s="30">
        <v>0</v>
      </c>
      <c r="L4" s="18" t="s">
        <v>28</v>
      </c>
      <c r="M4" s="18" t="s">
        <v>29</v>
      </c>
    </row>
    <row r="5" spans="1:13">
      <c r="A5" s="16" t="s">
        <v>2</v>
      </c>
      <c r="B5" s="23">
        <v>46142</v>
      </c>
      <c r="F5" s="31" t="s">
        <v>311</v>
      </c>
      <c r="G5" s="31" t="s">
        <v>312</v>
      </c>
      <c r="H5" s="32">
        <v>62734414</v>
      </c>
      <c r="I5" s="30">
        <v>0</v>
      </c>
      <c r="L5" s="18" t="s">
        <v>30</v>
      </c>
      <c r="M5" s="18" t="s">
        <v>31</v>
      </c>
    </row>
    <row r="6" spans="1:13" ht="16.5">
      <c r="A6" s="16" t="s">
        <v>3</v>
      </c>
      <c r="B6" s="37" t="s">
        <v>1464</v>
      </c>
      <c r="F6" s="31" t="s">
        <v>976</v>
      </c>
      <c r="G6" s="31" t="s">
        <v>977</v>
      </c>
      <c r="H6" s="32">
        <v>2796084</v>
      </c>
      <c r="I6" s="30">
        <v>0</v>
      </c>
      <c r="L6" s="18" t="s">
        <v>32</v>
      </c>
      <c r="M6" s="18" t="s">
        <v>33</v>
      </c>
    </row>
    <row r="7" spans="1:13">
      <c r="F7" s="31" t="s">
        <v>853</v>
      </c>
      <c r="G7" s="31" t="s">
        <v>854</v>
      </c>
      <c r="H7" s="32">
        <v>104597101</v>
      </c>
      <c r="I7" s="30">
        <v>0</v>
      </c>
      <c r="L7" s="18" t="s">
        <v>34</v>
      </c>
      <c r="M7" s="18" t="s">
        <v>35</v>
      </c>
    </row>
    <row r="8" spans="1:13">
      <c r="A8" s="16" t="s">
        <v>20</v>
      </c>
      <c r="B8" s="50">
        <v>46143</v>
      </c>
      <c r="F8" s="31" t="s">
        <v>819</v>
      </c>
      <c r="G8" s="31" t="s">
        <v>820</v>
      </c>
      <c r="H8" s="32">
        <v>4619993</v>
      </c>
      <c r="I8" s="30">
        <v>0</v>
      </c>
      <c r="L8" s="18" t="s">
        <v>18</v>
      </c>
      <c r="M8" s="18" t="s">
        <v>36</v>
      </c>
    </row>
    <row r="9" spans="1:13">
      <c r="F9" s="31" t="s">
        <v>948</v>
      </c>
      <c r="G9" s="31" t="s">
        <v>949</v>
      </c>
      <c r="H9" s="32">
        <v>321846082</v>
      </c>
      <c r="I9" s="30">
        <v>0</v>
      </c>
      <c r="L9" s="18" t="s">
        <v>37</v>
      </c>
      <c r="M9" s="18" t="s">
        <v>38</v>
      </c>
    </row>
    <row r="10" spans="1:13">
      <c r="A10" s="16" t="s">
        <v>6</v>
      </c>
      <c r="B10" s="17" t="s">
        <v>13</v>
      </c>
      <c r="F10" s="31" t="s">
        <v>233</v>
      </c>
      <c r="G10" s="31" t="s">
        <v>234</v>
      </c>
      <c r="H10" s="32">
        <v>-12492387</v>
      </c>
      <c r="I10" s="30">
        <v>0</v>
      </c>
      <c r="L10" s="18" t="s">
        <v>39</v>
      </c>
      <c r="M10" s="18" t="s">
        <v>40</v>
      </c>
    </row>
    <row r="11" spans="1:13">
      <c r="A11" s="16" t="s">
        <v>7</v>
      </c>
      <c r="B11" s="17" t="s">
        <v>13</v>
      </c>
      <c r="F11" s="31" t="s">
        <v>398</v>
      </c>
      <c r="G11" s="31" t="s">
        <v>399</v>
      </c>
      <c r="H11" s="32">
        <v>30684446</v>
      </c>
      <c r="I11" s="30">
        <v>0</v>
      </c>
      <c r="L11" s="18" t="s">
        <v>41</v>
      </c>
      <c r="M11" s="18" t="s">
        <v>42</v>
      </c>
    </row>
    <row r="12" spans="1:13">
      <c r="A12" s="16" t="s">
        <v>8</v>
      </c>
      <c r="B12" s="17" t="s">
        <v>13</v>
      </c>
      <c r="F12" s="31" t="s">
        <v>400</v>
      </c>
      <c r="G12" s="31" t="s">
        <v>401</v>
      </c>
      <c r="H12" s="32">
        <v>615305499</v>
      </c>
      <c r="I12" s="30">
        <v>0</v>
      </c>
      <c r="L12" s="18" t="s">
        <v>43</v>
      </c>
      <c r="M12" s="18" t="s">
        <v>44</v>
      </c>
    </row>
    <row r="13" spans="1:13">
      <c r="A13" s="16" t="s">
        <v>9</v>
      </c>
      <c r="B13" s="17" t="s">
        <v>13</v>
      </c>
      <c r="F13" s="31" t="s">
        <v>811</v>
      </c>
      <c r="G13" s="31" t="s">
        <v>812</v>
      </c>
      <c r="H13" s="32">
        <v>-2563856</v>
      </c>
      <c r="I13" s="30">
        <v>0</v>
      </c>
      <c r="L13" s="18" t="s">
        <v>45</v>
      </c>
      <c r="M13" s="18" t="s">
        <v>46</v>
      </c>
    </row>
    <row r="14" spans="1:13">
      <c r="A14" s="16" t="s">
        <v>10</v>
      </c>
      <c r="B14" s="17" t="s">
        <v>13</v>
      </c>
      <c r="F14" s="31"/>
      <c r="G14" s="31"/>
      <c r="H14" s="32"/>
      <c r="I14" s="30">
        <v>0</v>
      </c>
      <c r="L14" s="18" t="s">
        <v>47</v>
      </c>
      <c r="M14" s="18" t="s">
        <v>48</v>
      </c>
    </row>
    <row r="15" spans="1:13">
      <c r="A15" s="16" t="s">
        <v>11</v>
      </c>
      <c r="B15" s="17" t="s">
        <v>13</v>
      </c>
      <c r="F15" s="31"/>
      <c r="G15" s="31"/>
      <c r="H15" s="32"/>
      <c r="I15" s="30">
        <v>0</v>
      </c>
      <c r="L15" s="18" t="s">
        <v>49</v>
      </c>
      <c r="M15" s="18" t="s">
        <v>50</v>
      </c>
    </row>
    <row r="16" spans="1:13">
      <c r="A16" s="24" t="s">
        <v>5</v>
      </c>
      <c r="B16" s="25" t="s">
        <v>13</v>
      </c>
      <c r="F16" s="31"/>
      <c r="G16" s="31"/>
      <c r="H16" s="32"/>
      <c r="I16" s="30">
        <v>0</v>
      </c>
      <c r="L16" s="18" t="s">
        <v>51</v>
      </c>
      <c r="M16" s="18" t="s">
        <v>52</v>
      </c>
    </row>
    <row r="17" spans="1:13">
      <c r="A17" s="16" t="s">
        <v>12</v>
      </c>
      <c r="B17" s="17" t="s">
        <v>13</v>
      </c>
      <c r="F17" s="31"/>
      <c r="G17" s="31"/>
      <c r="H17" s="32"/>
      <c r="I17" s="30">
        <v>0</v>
      </c>
      <c r="L17" s="18" t="s">
        <v>53</v>
      </c>
      <c r="M17" s="18" t="s">
        <v>54</v>
      </c>
    </row>
    <row r="18" spans="1:13">
      <c r="A18" s="24" t="s">
        <v>14</v>
      </c>
      <c r="B18" s="25" t="s">
        <v>13</v>
      </c>
      <c r="F18" s="31"/>
      <c r="G18" s="31"/>
      <c r="H18" s="32"/>
      <c r="I18" s="30">
        <v>0</v>
      </c>
      <c r="L18" s="18" t="s">
        <v>55</v>
      </c>
      <c r="M18" s="18" t="s">
        <v>56</v>
      </c>
    </row>
    <row r="19" spans="1:13">
      <c r="A19" s="24" t="s">
        <v>15</v>
      </c>
      <c r="B19" s="25" t="s">
        <v>13</v>
      </c>
      <c r="F19" s="31"/>
      <c r="G19" s="31"/>
      <c r="H19" s="32"/>
      <c r="I19" s="30">
        <v>0</v>
      </c>
      <c r="L19" s="18" t="s">
        <v>57</v>
      </c>
      <c r="M19" s="18" t="s">
        <v>58</v>
      </c>
    </row>
    <row r="20" spans="1:13">
      <c r="F20" s="31"/>
      <c r="G20" s="31"/>
      <c r="H20" s="32"/>
      <c r="I20" s="30">
        <v>0</v>
      </c>
      <c r="L20" s="18" t="s">
        <v>59</v>
      </c>
      <c r="M20" s="18" t="s">
        <v>60</v>
      </c>
    </row>
    <row r="21" spans="1:13">
      <c r="F21" s="31"/>
      <c r="G21" s="31"/>
      <c r="H21" s="32"/>
      <c r="I21" s="30">
        <v>0</v>
      </c>
      <c r="L21" s="18" t="s">
        <v>61</v>
      </c>
      <c r="M21" s="18" t="s">
        <v>62</v>
      </c>
    </row>
    <row r="22" spans="1:13">
      <c r="F22" s="31"/>
      <c r="G22" s="31"/>
      <c r="H22" s="32"/>
      <c r="I22" s="30">
        <v>0</v>
      </c>
      <c r="L22" s="18" t="s">
        <v>63</v>
      </c>
      <c r="M22" s="18" t="s">
        <v>64</v>
      </c>
    </row>
    <row r="23" spans="1:13">
      <c r="B23" s="33" t="s">
        <v>113</v>
      </c>
      <c r="C23" s="34"/>
      <c r="F23" s="31"/>
      <c r="G23" s="31"/>
      <c r="H23" s="32"/>
      <c r="I23" s="30">
        <v>0</v>
      </c>
      <c r="L23" s="18" t="s">
        <v>65</v>
      </c>
      <c r="M23" s="18" t="s">
        <v>66</v>
      </c>
    </row>
    <row r="24" spans="1:13">
      <c r="B24" s="35" t="s">
        <v>197</v>
      </c>
      <c r="C24" s="34"/>
      <c r="F24" s="31"/>
      <c r="G24" s="31"/>
      <c r="H24" s="32"/>
      <c r="I24" s="30">
        <v>0</v>
      </c>
      <c r="L24" s="18" t="s">
        <v>67</v>
      </c>
      <c r="M24" s="18" t="s">
        <v>68</v>
      </c>
    </row>
    <row r="25" spans="1:13" ht="30.75" customHeight="1">
      <c r="B25" s="58" t="s">
        <v>207</v>
      </c>
      <c r="C25" s="59"/>
      <c r="F25" s="31"/>
      <c r="G25" s="31"/>
      <c r="H25" s="32"/>
      <c r="I25" s="30">
        <v>0</v>
      </c>
      <c r="L25" s="18" t="s">
        <v>69</v>
      </c>
      <c r="M25" s="18" t="s">
        <v>70</v>
      </c>
    </row>
    <row r="26" spans="1:13">
      <c r="F26" s="31"/>
      <c r="G26" s="31"/>
      <c r="H26" s="32"/>
      <c r="I26" s="30">
        <v>0</v>
      </c>
      <c r="L26" s="18" t="s">
        <v>71</v>
      </c>
      <c r="M26" s="18" t="s">
        <v>72</v>
      </c>
    </row>
    <row r="27" spans="1:13">
      <c r="F27" s="31"/>
      <c r="G27" s="31"/>
      <c r="H27" s="32"/>
      <c r="I27" s="30">
        <v>0</v>
      </c>
      <c r="L27" s="18" t="s">
        <v>73</v>
      </c>
      <c r="M27" s="18" t="s">
        <v>74</v>
      </c>
    </row>
    <row r="28" spans="1:13">
      <c r="F28" s="31"/>
      <c r="G28" s="31"/>
      <c r="H28" s="32"/>
      <c r="I28" s="30">
        <v>0</v>
      </c>
      <c r="L28" s="18" t="s">
        <v>75</v>
      </c>
      <c r="M28" s="18" t="s">
        <v>76</v>
      </c>
    </row>
    <row r="29" spans="1:13">
      <c r="F29" s="31"/>
      <c r="G29" s="31"/>
      <c r="H29" s="32"/>
      <c r="I29" s="30">
        <v>0</v>
      </c>
    </row>
    <row r="30" spans="1:13">
      <c r="F30" s="31"/>
      <c r="G30" s="31"/>
      <c r="H30" s="32"/>
      <c r="I30" s="30">
        <v>0</v>
      </c>
    </row>
    <row r="31" spans="1:13">
      <c r="F31" s="31"/>
      <c r="G31" s="31"/>
      <c r="H31" s="32"/>
      <c r="I31" s="30">
        <v>0</v>
      </c>
    </row>
    <row r="32" spans="1:13">
      <c r="F32" s="31"/>
      <c r="G32" s="31"/>
      <c r="H32" s="32"/>
      <c r="I32" s="30">
        <v>0</v>
      </c>
    </row>
    <row r="33" spans="6:9">
      <c r="F33" s="31"/>
      <c r="G33" s="31"/>
      <c r="H33" s="32"/>
      <c r="I33" s="30">
        <v>0</v>
      </c>
    </row>
    <row r="34" spans="6:9">
      <c r="F34" s="31"/>
      <c r="G34" s="31"/>
      <c r="H34" s="32"/>
      <c r="I34" s="30">
        <v>0</v>
      </c>
    </row>
    <row r="35" spans="6:9">
      <c r="F35" s="31"/>
      <c r="G35" s="31"/>
      <c r="H35" s="32"/>
      <c r="I35" s="30">
        <v>0</v>
      </c>
    </row>
    <row r="36" spans="6:9">
      <c r="F36" s="31"/>
      <c r="G36" s="31"/>
      <c r="H36" s="32"/>
      <c r="I36" s="30">
        <v>0</v>
      </c>
    </row>
    <row r="37" spans="6:9">
      <c r="F37" s="31"/>
      <c r="G37" s="31"/>
      <c r="H37" s="32"/>
      <c r="I37" s="30">
        <v>0</v>
      </c>
    </row>
    <row r="38" spans="6:9">
      <c r="F38" s="31"/>
      <c r="G38" s="31"/>
      <c r="H38" s="32"/>
      <c r="I38" s="30">
        <v>0</v>
      </c>
    </row>
    <row r="39" spans="6:9">
      <c r="F39" s="31"/>
      <c r="G39" s="31"/>
      <c r="H39" s="32"/>
      <c r="I39" s="30">
        <v>0</v>
      </c>
    </row>
    <row r="40" spans="6:9">
      <c r="F40" s="31"/>
      <c r="G40" s="31"/>
      <c r="H40" s="32"/>
      <c r="I40" s="30">
        <v>0</v>
      </c>
    </row>
    <row r="41" spans="6:9">
      <c r="F41" s="31"/>
      <c r="G41" s="31"/>
      <c r="H41" s="32"/>
      <c r="I41" s="30">
        <v>0</v>
      </c>
    </row>
    <row r="42" spans="6:9">
      <c r="F42" s="31"/>
      <c r="G42" s="31"/>
      <c r="H42" s="32"/>
      <c r="I42" s="30">
        <v>0</v>
      </c>
    </row>
    <row r="43" spans="6:9">
      <c r="F43" s="31"/>
      <c r="G43" s="31"/>
      <c r="H43" s="32"/>
      <c r="I43" s="30">
        <v>0</v>
      </c>
    </row>
    <row r="44" spans="6:9">
      <c r="F44" s="31"/>
      <c r="G44" s="31"/>
      <c r="H44" s="32"/>
      <c r="I44" s="30">
        <v>0</v>
      </c>
    </row>
    <row r="45" spans="6:9">
      <c r="F45" s="31"/>
      <c r="G45" s="31"/>
      <c r="H45" s="32"/>
      <c r="I45" s="30">
        <v>0</v>
      </c>
    </row>
    <row r="46" spans="6:9">
      <c r="F46" s="31"/>
      <c r="G46" s="31"/>
      <c r="H46" s="32"/>
      <c r="I46" s="30">
        <v>0</v>
      </c>
    </row>
    <row r="47" spans="6:9">
      <c r="F47" s="31"/>
      <c r="G47" s="31"/>
      <c r="H47" s="32"/>
      <c r="I47" s="30">
        <v>0</v>
      </c>
    </row>
    <row r="48" spans="6:9">
      <c r="F48" s="31"/>
      <c r="G48" s="31"/>
      <c r="H48" s="32"/>
      <c r="I48" s="30">
        <v>0</v>
      </c>
    </row>
    <row r="49" spans="6:9">
      <c r="F49" s="31"/>
      <c r="G49" s="31"/>
      <c r="H49" s="32"/>
      <c r="I49" s="30">
        <v>0</v>
      </c>
    </row>
    <row r="50" spans="6:9">
      <c r="F50" s="31"/>
      <c r="G50" s="31"/>
      <c r="H50" s="32"/>
      <c r="I50" s="30">
        <v>0</v>
      </c>
    </row>
    <row r="51" spans="6:9">
      <c r="F51" s="31"/>
      <c r="G51" s="31"/>
      <c r="H51" s="32"/>
      <c r="I51" s="30">
        <v>0</v>
      </c>
    </row>
    <row r="52" spans="6:9">
      <c r="F52" s="31"/>
      <c r="G52" s="31"/>
      <c r="H52" s="32"/>
      <c r="I52" s="30">
        <v>0</v>
      </c>
    </row>
    <row r="53" spans="6:9">
      <c r="F53" s="31"/>
      <c r="G53" s="31"/>
      <c r="H53" s="32"/>
      <c r="I53" s="30">
        <v>0</v>
      </c>
    </row>
    <row r="54" spans="6:9">
      <c r="F54" s="31"/>
      <c r="G54" s="31"/>
      <c r="H54" s="32"/>
      <c r="I54" s="30">
        <v>0</v>
      </c>
    </row>
    <row r="55" spans="6:9">
      <c r="F55" s="31"/>
      <c r="G55" s="31"/>
      <c r="H55" s="32"/>
      <c r="I55" s="30">
        <v>0</v>
      </c>
    </row>
    <row r="56" spans="6:9">
      <c r="F56" s="31"/>
      <c r="G56" s="31"/>
      <c r="H56" s="32"/>
      <c r="I56" s="30">
        <v>0</v>
      </c>
    </row>
    <row r="57" spans="6:9">
      <c r="F57" s="31"/>
      <c r="G57" s="31"/>
      <c r="H57" s="32"/>
      <c r="I57" s="30">
        <v>0</v>
      </c>
    </row>
    <row r="58" spans="6:9">
      <c r="F58" s="31"/>
      <c r="G58" s="31"/>
      <c r="H58" s="32"/>
      <c r="I58" s="30">
        <v>0</v>
      </c>
    </row>
    <row r="59" spans="6:9">
      <c r="F59" s="31"/>
      <c r="G59" s="31"/>
      <c r="H59" s="32"/>
      <c r="I59" s="30">
        <v>0</v>
      </c>
    </row>
    <row r="60" spans="6:9">
      <c r="F60" s="31"/>
      <c r="G60" s="31"/>
      <c r="H60" s="32"/>
      <c r="I60" s="30">
        <v>0</v>
      </c>
    </row>
    <row r="61" spans="6:9">
      <c r="F61" s="31"/>
      <c r="G61" s="31"/>
      <c r="H61" s="32"/>
      <c r="I61" s="30">
        <v>0</v>
      </c>
    </row>
    <row r="62" spans="6:9">
      <c r="F62" s="31"/>
      <c r="G62" s="31"/>
      <c r="H62" s="32"/>
      <c r="I62" s="30">
        <v>0</v>
      </c>
    </row>
    <row r="63" spans="6:9">
      <c r="F63" s="31"/>
      <c r="G63" s="31"/>
      <c r="H63" s="32"/>
      <c r="I63" s="30">
        <v>0</v>
      </c>
    </row>
    <row r="64" spans="6:9">
      <c r="F64" s="31"/>
      <c r="G64" s="31"/>
      <c r="H64" s="32"/>
      <c r="I64" s="30">
        <v>0</v>
      </c>
    </row>
    <row r="65" spans="6:9">
      <c r="F65" s="31"/>
      <c r="G65" s="31"/>
      <c r="H65" s="32"/>
      <c r="I65" s="30">
        <v>0</v>
      </c>
    </row>
    <row r="66" spans="6:9">
      <c r="F66" s="31"/>
      <c r="G66" s="31"/>
      <c r="H66" s="32"/>
      <c r="I66" s="30">
        <v>0</v>
      </c>
    </row>
    <row r="67" spans="6:9">
      <c r="F67" s="31"/>
      <c r="G67" s="31"/>
      <c r="H67" s="32"/>
      <c r="I67" s="30">
        <v>0</v>
      </c>
    </row>
    <row r="68" spans="6:9">
      <c r="F68" s="31"/>
      <c r="G68" s="31"/>
      <c r="H68" s="32"/>
      <c r="I68" s="30">
        <v>0</v>
      </c>
    </row>
    <row r="69" spans="6:9">
      <c r="F69" s="31"/>
      <c r="G69" s="31"/>
      <c r="H69" s="32"/>
      <c r="I69" s="30">
        <v>0</v>
      </c>
    </row>
    <row r="70" spans="6:9">
      <c r="F70" s="31"/>
      <c r="G70" s="31"/>
      <c r="H70" s="32"/>
      <c r="I70" s="30">
        <v>0</v>
      </c>
    </row>
    <row r="71" spans="6:9">
      <c r="F71" s="31"/>
      <c r="G71" s="31"/>
      <c r="H71" s="32"/>
      <c r="I71" s="30">
        <v>0</v>
      </c>
    </row>
    <row r="72" spans="6:9">
      <c r="F72" s="31"/>
      <c r="G72" s="31"/>
      <c r="H72" s="32"/>
      <c r="I72" s="30">
        <v>0</v>
      </c>
    </row>
    <row r="73" spans="6:9">
      <c r="F73" s="31"/>
      <c r="G73" s="31"/>
      <c r="H73" s="32"/>
      <c r="I73" s="30">
        <v>0</v>
      </c>
    </row>
    <row r="74" spans="6:9">
      <c r="F74" s="31"/>
      <c r="G74" s="31"/>
      <c r="H74" s="32"/>
      <c r="I74" s="30">
        <v>0</v>
      </c>
    </row>
    <row r="75" spans="6:9">
      <c r="F75" s="31"/>
      <c r="G75" s="31"/>
      <c r="H75" s="32"/>
      <c r="I75" s="30">
        <v>0</v>
      </c>
    </row>
    <row r="76" spans="6:9">
      <c r="F76" s="31"/>
      <c r="G76" s="31"/>
      <c r="H76" s="32"/>
      <c r="I76" s="30">
        <v>0</v>
      </c>
    </row>
    <row r="77" spans="6:9">
      <c r="F77" s="31"/>
      <c r="G77" s="31"/>
      <c r="H77" s="32"/>
      <c r="I77" s="30">
        <v>0</v>
      </c>
    </row>
    <row r="78" spans="6:9">
      <c r="F78" s="31"/>
      <c r="G78" s="31"/>
      <c r="H78" s="32"/>
      <c r="I78" s="30">
        <v>0</v>
      </c>
    </row>
    <row r="79" spans="6:9">
      <c r="F79" s="31"/>
      <c r="G79" s="31"/>
      <c r="H79" s="32"/>
      <c r="I79" s="30">
        <v>0</v>
      </c>
    </row>
    <row r="80" spans="6:9">
      <c r="F80" s="31"/>
      <c r="G80" s="31"/>
      <c r="H80" s="32"/>
      <c r="I80" s="30">
        <v>0</v>
      </c>
    </row>
    <row r="81" spans="6:9">
      <c r="F81" s="31"/>
      <c r="G81" s="31"/>
      <c r="H81" s="32"/>
      <c r="I81" s="30">
        <v>0</v>
      </c>
    </row>
    <row r="82" spans="6:9">
      <c r="F82" s="31"/>
      <c r="G82" s="31"/>
      <c r="H82" s="32"/>
      <c r="I82" s="30">
        <v>0</v>
      </c>
    </row>
    <row r="83" spans="6:9">
      <c r="F83" s="31"/>
      <c r="G83" s="31"/>
      <c r="H83" s="32"/>
      <c r="I83" s="30">
        <v>0</v>
      </c>
    </row>
    <row r="84" spans="6:9">
      <c r="F84" s="31"/>
      <c r="G84" s="31"/>
      <c r="H84" s="32"/>
      <c r="I84" s="30">
        <v>0</v>
      </c>
    </row>
    <row r="85" spans="6:9">
      <c r="F85" s="31"/>
      <c r="G85" s="31"/>
      <c r="H85" s="32"/>
      <c r="I85" s="30">
        <v>0</v>
      </c>
    </row>
    <row r="86" spans="6:9">
      <c r="F86" s="31"/>
      <c r="G86" s="31"/>
      <c r="H86" s="32"/>
      <c r="I86" s="30">
        <v>0</v>
      </c>
    </row>
    <row r="87" spans="6:9">
      <c r="F87" s="31"/>
      <c r="G87" s="31"/>
      <c r="H87" s="32"/>
      <c r="I87" s="30">
        <v>0</v>
      </c>
    </row>
    <row r="88" spans="6:9">
      <c r="F88" s="31"/>
      <c r="G88" s="31"/>
      <c r="H88" s="32"/>
      <c r="I88" s="30">
        <v>0</v>
      </c>
    </row>
    <row r="89" spans="6:9">
      <c r="F89" s="31"/>
      <c r="G89" s="31"/>
      <c r="H89" s="32"/>
      <c r="I89" s="30">
        <v>0</v>
      </c>
    </row>
    <row r="90" spans="6:9">
      <c r="F90" s="31"/>
      <c r="G90" s="31"/>
      <c r="H90" s="32"/>
      <c r="I90" s="30">
        <v>0</v>
      </c>
    </row>
    <row r="91" spans="6:9">
      <c r="F91" s="31"/>
      <c r="G91" s="31"/>
      <c r="H91" s="32"/>
      <c r="I91" s="30">
        <v>0</v>
      </c>
    </row>
    <row r="92" spans="6:9">
      <c r="F92" s="31"/>
      <c r="G92" s="31"/>
      <c r="H92" s="32"/>
      <c r="I92" s="30">
        <v>0</v>
      </c>
    </row>
    <row r="93" spans="6:9">
      <c r="F93" s="31"/>
      <c r="G93" s="31"/>
      <c r="H93" s="32"/>
      <c r="I93" s="30">
        <v>0</v>
      </c>
    </row>
    <row r="94" spans="6:9">
      <c r="F94" s="31"/>
      <c r="G94" s="31"/>
      <c r="H94" s="32"/>
      <c r="I94" s="30">
        <v>0</v>
      </c>
    </row>
    <row r="95" spans="6:9">
      <c r="F95" s="31"/>
      <c r="G95" s="31"/>
      <c r="H95" s="32"/>
      <c r="I95" s="30">
        <v>0</v>
      </c>
    </row>
    <row r="96" spans="6:9">
      <c r="F96" s="31"/>
      <c r="G96" s="31"/>
      <c r="H96" s="32"/>
      <c r="I96" s="30">
        <v>0</v>
      </c>
    </row>
    <row r="97" spans="6:9">
      <c r="F97" s="31"/>
      <c r="G97" s="31"/>
      <c r="H97" s="32"/>
      <c r="I97" s="30">
        <v>0</v>
      </c>
    </row>
    <row r="98" spans="6:9">
      <c r="F98" s="31"/>
      <c r="G98" s="31"/>
      <c r="H98" s="32"/>
      <c r="I98" s="30">
        <v>0</v>
      </c>
    </row>
    <row r="99" spans="6:9">
      <c r="F99" s="31"/>
      <c r="G99" s="31"/>
      <c r="H99" s="32"/>
      <c r="I99" s="30">
        <v>0</v>
      </c>
    </row>
    <row r="100" spans="6:9">
      <c r="F100" s="31"/>
      <c r="G100" s="31"/>
      <c r="H100" s="32"/>
      <c r="I100" s="30">
        <v>0</v>
      </c>
    </row>
    <row r="101" spans="6:9">
      <c r="F101" s="31"/>
      <c r="G101" s="31"/>
      <c r="H101" s="32"/>
      <c r="I101" s="30">
        <v>0</v>
      </c>
    </row>
    <row r="102" spans="6:9">
      <c r="F102" s="31"/>
      <c r="G102" s="31"/>
      <c r="H102" s="32"/>
      <c r="I102" s="30">
        <v>0</v>
      </c>
    </row>
    <row r="103" spans="6:9">
      <c r="F103" s="31"/>
      <c r="G103" s="31"/>
      <c r="H103" s="32"/>
      <c r="I103" s="30">
        <v>0</v>
      </c>
    </row>
    <row r="104" spans="6:9">
      <c r="F104" s="31"/>
      <c r="G104" s="31"/>
      <c r="H104" s="32"/>
      <c r="I104" s="30">
        <v>0</v>
      </c>
    </row>
    <row r="105" spans="6:9">
      <c r="F105" s="31"/>
      <c r="G105" s="31"/>
      <c r="H105" s="32"/>
      <c r="I105" s="30">
        <v>0</v>
      </c>
    </row>
    <row r="106" spans="6:9">
      <c r="F106" s="31"/>
      <c r="G106" s="31"/>
      <c r="H106" s="32"/>
      <c r="I106" s="30">
        <v>0</v>
      </c>
    </row>
    <row r="107" spans="6:9">
      <c r="F107" s="31"/>
      <c r="G107" s="31"/>
      <c r="H107" s="32"/>
      <c r="I107" s="30">
        <v>0</v>
      </c>
    </row>
    <row r="108" spans="6:9">
      <c r="F108" s="31"/>
      <c r="G108" s="31"/>
      <c r="H108" s="32"/>
      <c r="I108" s="30">
        <v>0</v>
      </c>
    </row>
    <row r="109" spans="6:9">
      <c r="F109" s="31"/>
      <c r="G109" s="31"/>
      <c r="H109" s="32"/>
      <c r="I109" s="30">
        <v>0</v>
      </c>
    </row>
    <row r="110" spans="6:9">
      <c r="F110" s="31"/>
      <c r="G110" s="31"/>
      <c r="H110" s="32"/>
      <c r="I110" s="30">
        <v>0</v>
      </c>
    </row>
    <row r="111" spans="6:9">
      <c r="F111" s="31"/>
      <c r="G111" s="31"/>
      <c r="H111" s="32"/>
      <c r="I111" s="30">
        <v>0</v>
      </c>
    </row>
    <row r="112" spans="6:9">
      <c r="F112" s="31"/>
      <c r="G112" s="31"/>
      <c r="H112" s="32"/>
      <c r="I112" s="30">
        <v>0</v>
      </c>
    </row>
    <row r="113" spans="6:9">
      <c r="F113" s="31"/>
      <c r="G113" s="31"/>
      <c r="H113" s="32"/>
      <c r="I113" s="30">
        <v>0</v>
      </c>
    </row>
    <row r="114" spans="6:9">
      <c r="F114" s="31"/>
      <c r="G114" s="31"/>
      <c r="H114" s="32"/>
      <c r="I114" s="30">
        <v>0</v>
      </c>
    </row>
    <row r="115" spans="6:9">
      <c r="F115" s="31"/>
      <c r="G115" s="31"/>
      <c r="H115" s="32"/>
      <c r="I115" s="30">
        <v>0</v>
      </c>
    </row>
    <row r="116" spans="6:9">
      <c r="F116" s="31"/>
      <c r="G116" s="31"/>
      <c r="H116" s="32"/>
      <c r="I116" s="30">
        <v>0</v>
      </c>
    </row>
    <row r="117" spans="6:9">
      <c r="F117" s="31"/>
      <c r="G117" s="31"/>
      <c r="H117" s="32"/>
      <c r="I117" s="30">
        <v>0</v>
      </c>
    </row>
    <row r="118" spans="6:9">
      <c r="F118" s="31"/>
      <c r="G118" s="31"/>
      <c r="H118" s="32"/>
      <c r="I118" s="30">
        <v>0</v>
      </c>
    </row>
    <row r="119" spans="6:9">
      <c r="F119" s="31"/>
      <c r="G119" s="31"/>
      <c r="H119" s="32"/>
      <c r="I119" s="30">
        <v>0</v>
      </c>
    </row>
    <row r="120" spans="6:9">
      <c r="F120" s="31"/>
      <c r="G120" s="31"/>
      <c r="H120" s="32"/>
      <c r="I120" s="30">
        <v>0</v>
      </c>
    </row>
    <row r="121" spans="6:9">
      <c r="F121" s="31"/>
      <c r="G121" s="31"/>
      <c r="H121" s="32"/>
      <c r="I121" s="30">
        <v>0</v>
      </c>
    </row>
    <row r="122" spans="6:9">
      <c r="F122" s="31"/>
      <c r="G122" s="31"/>
      <c r="H122" s="32"/>
      <c r="I122" s="30">
        <v>0</v>
      </c>
    </row>
    <row r="123" spans="6:9">
      <c r="F123" s="31"/>
      <c r="G123" s="31"/>
      <c r="H123" s="32"/>
      <c r="I123" s="30">
        <v>0</v>
      </c>
    </row>
    <row r="124" spans="6:9">
      <c r="F124" s="31"/>
      <c r="G124" s="31"/>
      <c r="H124" s="32"/>
      <c r="I124" s="30">
        <v>0</v>
      </c>
    </row>
    <row r="125" spans="6:9">
      <c r="F125" s="31"/>
      <c r="G125" s="31"/>
      <c r="H125" s="32"/>
      <c r="I125" s="30">
        <v>0</v>
      </c>
    </row>
    <row r="126" spans="6:9">
      <c r="F126" s="31"/>
      <c r="G126" s="31"/>
      <c r="H126" s="32"/>
      <c r="I126" s="30">
        <v>0</v>
      </c>
    </row>
    <row r="127" spans="6:9">
      <c r="F127" s="31"/>
      <c r="G127" s="31"/>
      <c r="H127" s="32"/>
      <c r="I127" s="30">
        <v>0</v>
      </c>
    </row>
    <row r="128" spans="6:9">
      <c r="F128" s="31"/>
      <c r="G128" s="31"/>
      <c r="H128" s="32"/>
      <c r="I128" s="30">
        <v>0</v>
      </c>
    </row>
    <row r="129" spans="6:9">
      <c r="F129" s="31"/>
      <c r="G129" s="31"/>
      <c r="H129" s="32"/>
      <c r="I129" s="30">
        <v>0</v>
      </c>
    </row>
    <row r="130" spans="6:9">
      <c r="F130" s="31"/>
      <c r="G130" s="31"/>
      <c r="H130" s="32"/>
      <c r="I130" s="30">
        <v>0</v>
      </c>
    </row>
    <row r="131" spans="6:9">
      <c r="F131" s="31"/>
      <c r="G131" s="31"/>
      <c r="H131" s="32"/>
      <c r="I131" s="30">
        <v>0</v>
      </c>
    </row>
    <row r="132" spans="6:9">
      <c r="F132" s="31"/>
      <c r="G132" s="31"/>
      <c r="H132" s="32"/>
      <c r="I132" s="30">
        <v>0</v>
      </c>
    </row>
    <row r="133" spans="6:9">
      <c r="F133" s="31"/>
      <c r="G133" s="31"/>
      <c r="H133" s="32"/>
      <c r="I133" s="30"/>
    </row>
    <row r="134" spans="6:9">
      <c r="F134" s="31"/>
      <c r="G134" s="31"/>
      <c r="H134" s="32"/>
      <c r="I134" s="30"/>
    </row>
    <row r="135" spans="6:9">
      <c r="F135" s="31"/>
      <c r="G135" s="31"/>
      <c r="H135" s="32"/>
      <c r="I135" s="30"/>
    </row>
    <row r="136" spans="6:9">
      <c r="F136" s="31"/>
      <c r="G136" s="31"/>
      <c r="H136" s="32"/>
      <c r="I136" s="30"/>
    </row>
    <row r="137" spans="6:9">
      <c r="F137" s="31"/>
      <c r="G137" s="31"/>
      <c r="H137" s="32"/>
      <c r="I137" s="30"/>
    </row>
    <row r="138" spans="6:9">
      <c r="F138" s="31"/>
      <c r="G138" s="31"/>
      <c r="H138" s="32"/>
      <c r="I138" s="30"/>
    </row>
    <row r="139" spans="6:9">
      <c r="F139" s="31"/>
      <c r="G139" s="31"/>
      <c r="H139" s="32"/>
      <c r="I139" s="30"/>
    </row>
    <row r="140" spans="6:9">
      <c r="F140" s="31"/>
      <c r="G140" s="31"/>
      <c r="H140" s="32"/>
      <c r="I140" s="30"/>
    </row>
    <row r="141" spans="6:9">
      <c r="F141" s="31"/>
      <c r="G141" s="31"/>
      <c r="H141" s="32"/>
      <c r="I141" s="30"/>
    </row>
    <row r="142" spans="6:9">
      <c r="F142" s="31"/>
      <c r="G142" s="31"/>
      <c r="H142" s="32"/>
      <c r="I142" s="30"/>
    </row>
    <row r="143" spans="6:9">
      <c r="F143" s="31"/>
      <c r="G143" s="31"/>
      <c r="H143" s="32"/>
      <c r="I143" s="30"/>
    </row>
    <row r="144" spans="6:9">
      <c r="F144" s="31"/>
      <c r="G144" s="31"/>
      <c r="H144" s="32"/>
      <c r="I144" s="30"/>
    </row>
    <row r="145" spans="6:9">
      <c r="F145" s="31"/>
      <c r="G145" s="31"/>
      <c r="H145" s="32"/>
      <c r="I145" s="30"/>
    </row>
    <row r="146" spans="6:9">
      <c r="F146" s="31"/>
      <c r="G146" s="31"/>
      <c r="H146" s="32"/>
      <c r="I146" s="30"/>
    </row>
    <row r="147" spans="6:9">
      <c r="F147" s="31"/>
      <c r="G147" s="31"/>
      <c r="H147" s="32"/>
      <c r="I147" s="30"/>
    </row>
    <row r="148" spans="6:9">
      <c r="F148" s="31"/>
      <c r="G148" s="31"/>
      <c r="H148" s="32"/>
      <c r="I148" s="30"/>
    </row>
    <row r="149" spans="6:9">
      <c r="F149" s="31"/>
      <c r="G149" s="31"/>
      <c r="H149" s="32"/>
      <c r="I149" s="30"/>
    </row>
    <row r="150" spans="6:9">
      <c r="F150" s="31"/>
      <c r="G150" s="31"/>
      <c r="H150" s="32"/>
      <c r="I150" s="30"/>
    </row>
    <row r="151" spans="6:9">
      <c r="F151" s="31"/>
      <c r="G151" s="31"/>
      <c r="H151" s="32"/>
      <c r="I151" s="30"/>
    </row>
    <row r="152" spans="6:9">
      <c r="F152" s="31"/>
      <c r="G152" s="31"/>
      <c r="H152" s="32"/>
      <c r="I152" s="30"/>
    </row>
    <row r="153" spans="6:9">
      <c r="F153" s="31"/>
      <c r="G153" s="31"/>
      <c r="H153" s="32"/>
      <c r="I153" s="30"/>
    </row>
    <row r="154" spans="6:9">
      <c r="F154" s="31"/>
      <c r="G154" s="31"/>
      <c r="H154" s="32"/>
      <c r="I154" s="30"/>
    </row>
    <row r="155" spans="6:9">
      <c r="F155" s="31"/>
      <c r="G155" s="31"/>
      <c r="H155" s="32"/>
      <c r="I155" s="30"/>
    </row>
    <row r="156" spans="6:9">
      <c r="F156" s="31"/>
      <c r="G156" s="31"/>
      <c r="H156" s="32"/>
      <c r="I156" s="30"/>
    </row>
    <row r="157" spans="6:9">
      <c r="F157" s="31"/>
      <c r="G157" s="31"/>
      <c r="H157" s="32"/>
      <c r="I157" s="30"/>
    </row>
    <row r="158" spans="6:9">
      <c r="F158" s="31"/>
      <c r="G158" s="31"/>
      <c r="H158" s="32"/>
      <c r="I158" s="30"/>
    </row>
    <row r="159" spans="6:9">
      <c r="F159" s="31"/>
      <c r="G159" s="31"/>
      <c r="H159" s="32"/>
      <c r="I159" s="30"/>
    </row>
    <row r="160" spans="6:9">
      <c r="F160" s="31"/>
      <c r="G160" s="31"/>
      <c r="H160" s="32"/>
      <c r="I160" s="30"/>
    </row>
    <row r="161" spans="6:9">
      <c r="F161" s="31"/>
      <c r="G161" s="31"/>
      <c r="H161" s="32"/>
      <c r="I161" s="30"/>
    </row>
    <row r="162" spans="6:9">
      <c r="F162" s="31"/>
      <c r="G162" s="31"/>
      <c r="H162" s="32"/>
      <c r="I162" s="30"/>
    </row>
    <row r="163" spans="6:9">
      <c r="F163" s="31"/>
      <c r="G163" s="31"/>
      <c r="H163" s="32"/>
      <c r="I163" s="30"/>
    </row>
    <row r="164" spans="6:9">
      <c r="F164" s="31"/>
      <c r="G164" s="31"/>
      <c r="H164" s="32"/>
      <c r="I164" s="30"/>
    </row>
    <row r="165" spans="6:9">
      <c r="F165" s="31"/>
      <c r="G165" s="31"/>
      <c r="H165" s="32"/>
      <c r="I165" s="30"/>
    </row>
    <row r="166" spans="6:9">
      <c r="F166" s="31"/>
      <c r="G166" s="31"/>
      <c r="H166" s="32"/>
      <c r="I166" s="30"/>
    </row>
    <row r="167" spans="6:9">
      <c r="F167" s="31"/>
      <c r="G167" s="31"/>
      <c r="H167" s="32"/>
      <c r="I167" s="30"/>
    </row>
    <row r="168" spans="6:9">
      <c r="F168" s="31"/>
      <c r="G168" s="31"/>
      <c r="H168" s="32"/>
      <c r="I168" s="30"/>
    </row>
    <row r="169" spans="6:9">
      <c r="F169" s="31"/>
      <c r="G169" s="31"/>
      <c r="H169" s="32"/>
      <c r="I169" s="30"/>
    </row>
    <row r="170" spans="6:9">
      <c r="F170" s="31"/>
      <c r="G170" s="31"/>
      <c r="H170" s="32"/>
      <c r="I170" s="30"/>
    </row>
    <row r="171" spans="6:9">
      <c r="F171" s="31"/>
      <c r="G171" s="31"/>
      <c r="H171" s="32"/>
      <c r="I171" s="30"/>
    </row>
    <row r="172" spans="6:9">
      <c r="F172" s="31"/>
      <c r="G172" s="31"/>
      <c r="H172" s="32"/>
      <c r="I172" s="30"/>
    </row>
    <row r="173" spans="6:9">
      <c r="F173" s="31"/>
      <c r="G173" s="31"/>
      <c r="H173" s="32"/>
      <c r="I173" s="30"/>
    </row>
    <row r="174" spans="6:9">
      <c r="F174" s="31"/>
      <c r="G174" s="31"/>
      <c r="H174" s="32"/>
      <c r="I174" s="30"/>
    </row>
    <row r="175" spans="6:9">
      <c r="F175" s="31"/>
      <c r="G175" s="31"/>
      <c r="H175" s="32"/>
      <c r="I175" s="30"/>
    </row>
    <row r="176" spans="6:9">
      <c r="F176" s="31"/>
      <c r="G176" s="31"/>
      <c r="H176" s="32"/>
      <c r="I176" s="30"/>
    </row>
    <row r="177" spans="6:9">
      <c r="F177" s="31"/>
      <c r="G177" s="31"/>
      <c r="H177" s="32"/>
      <c r="I177" s="30"/>
    </row>
    <row r="178" spans="6:9">
      <c r="F178" s="31"/>
      <c r="G178" s="31"/>
      <c r="H178" s="32"/>
      <c r="I178" s="30"/>
    </row>
    <row r="179" spans="6:9">
      <c r="F179" s="31"/>
      <c r="G179" s="31"/>
      <c r="H179" s="32"/>
      <c r="I179" s="30"/>
    </row>
    <row r="180" spans="6:9">
      <c r="F180" s="31"/>
      <c r="G180" s="31"/>
      <c r="H180" s="32"/>
      <c r="I180" s="30"/>
    </row>
    <row r="181" spans="6:9">
      <c r="F181" s="31"/>
      <c r="G181" s="31"/>
      <c r="H181" s="32"/>
      <c r="I181" s="30"/>
    </row>
    <row r="182" spans="6:9">
      <c r="F182" s="31"/>
      <c r="G182" s="31"/>
      <c r="H182" s="32"/>
      <c r="I182" s="30"/>
    </row>
    <row r="183" spans="6:9">
      <c r="F183" s="31"/>
      <c r="G183" s="31"/>
      <c r="H183" s="32"/>
      <c r="I183" s="30"/>
    </row>
    <row r="184" spans="6:9">
      <c r="F184" s="31"/>
      <c r="G184" s="31"/>
      <c r="H184" s="32"/>
      <c r="I184" s="30"/>
    </row>
    <row r="185" spans="6:9">
      <c r="F185" s="31"/>
      <c r="G185" s="31"/>
      <c r="H185" s="32"/>
      <c r="I185" s="30"/>
    </row>
    <row r="186" spans="6:9">
      <c r="F186" s="31"/>
      <c r="G186" s="31"/>
      <c r="H186" s="32"/>
      <c r="I186" s="30"/>
    </row>
    <row r="187" spans="6:9">
      <c r="F187" s="31"/>
      <c r="G187" s="31"/>
      <c r="H187" s="32"/>
      <c r="I187" s="30"/>
    </row>
    <row r="188" spans="6:9">
      <c r="F188" s="31"/>
      <c r="G188" s="31"/>
      <c r="H188" s="32"/>
      <c r="I188" s="30"/>
    </row>
    <row r="189" spans="6:9">
      <c r="F189" s="31"/>
      <c r="G189" s="31"/>
      <c r="H189" s="32"/>
      <c r="I189" s="30"/>
    </row>
    <row r="190" spans="6:9">
      <c r="F190" s="31"/>
      <c r="G190" s="31"/>
      <c r="H190" s="32"/>
      <c r="I190" s="30"/>
    </row>
    <row r="191" spans="6:9">
      <c r="F191" s="31"/>
      <c r="G191" s="31"/>
      <c r="H191" s="32"/>
      <c r="I191" s="30"/>
    </row>
    <row r="192" spans="6:9">
      <c r="F192" s="31"/>
      <c r="G192" s="31"/>
      <c r="H192" s="32"/>
      <c r="I192" s="30"/>
    </row>
    <row r="193" spans="6:9">
      <c r="F193" s="31"/>
      <c r="G193" s="31"/>
      <c r="H193" s="32"/>
      <c r="I193" s="30"/>
    </row>
    <row r="194" spans="6:9">
      <c r="F194" s="31"/>
      <c r="G194" s="31"/>
      <c r="H194" s="32"/>
      <c r="I194" s="30"/>
    </row>
    <row r="195" spans="6:9">
      <c r="F195" s="31"/>
      <c r="G195" s="31"/>
      <c r="H195" s="32"/>
      <c r="I195" s="30"/>
    </row>
    <row r="196" spans="6:9">
      <c r="F196" s="31"/>
      <c r="G196" s="31"/>
      <c r="H196" s="32"/>
      <c r="I196" s="30"/>
    </row>
    <row r="197" spans="6:9">
      <c r="F197" s="31"/>
      <c r="G197" s="31"/>
      <c r="H197" s="32"/>
      <c r="I197" s="30"/>
    </row>
    <row r="198" spans="6:9">
      <c r="F198" s="31"/>
      <c r="G198" s="31"/>
      <c r="H198" s="32"/>
      <c r="I198" s="30"/>
    </row>
    <row r="199" spans="6:9">
      <c r="F199" s="31"/>
      <c r="G199" s="31"/>
      <c r="H199" s="32"/>
      <c r="I199" s="30"/>
    </row>
    <row r="200" spans="6:9">
      <c r="F200" s="31"/>
      <c r="G200" s="31"/>
      <c r="H200" s="32"/>
      <c r="I200" s="30"/>
    </row>
    <row r="201" spans="6:9">
      <c r="F201" s="31"/>
      <c r="G201" s="31"/>
      <c r="H201" s="32"/>
      <c r="I201" s="30"/>
    </row>
    <row r="202" spans="6:9">
      <c r="F202" s="31"/>
      <c r="G202" s="31"/>
      <c r="H202" s="32"/>
      <c r="I202" s="30"/>
    </row>
    <row r="203" spans="6:9">
      <c r="F203" s="31"/>
      <c r="G203" s="31"/>
      <c r="H203" s="32"/>
      <c r="I203" s="30"/>
    </row>
    <row r="204" spans="6:9">
      <c r="F204" s="31"/>
      <c r="G204" s="31"/>
      <c r="H204" s="32"/>
      <c r="I204" s="30"/>
    </row>
    <row r="205" spans="6:9">
      <c r="F205" s="31"/>
      <c r="G205" s="31"/>
      <c r="H205" s="32"/>
      <c r="I205" s="30"/>
    </row>
    <row r="206" spans="6:9">
      <c r="F206" s="31"/>
      <c r="G206" s="31"/>
      <c r="H206" s="32"/>
      <c r="I206" s="30"/>
    </row>
    <row r="207" spans="6:9">
      <c r="F207" s="31"/>
      <c r="G207" s="31"/>
      <c r="H207" s="32"/>
      <c r="I207" s="30"/>
    </row>
    <row r="208" spans="6:9">
      <c r="F208" s="31"/>
      <c r="G208" s="31"/>
      <c r="H208" s="32"/>
      <c r="I208" s="30"/>
    </row>
    <row r="209" spans="6:9">
      <c r="F209" s="31"/>
      <c r="G209" s="31"/>
      <c r="H209" s="32"/>
      <c r="I209" s="30"/>
    </row>
    <row r="210" spans="6:9">
      <c r="F210" s="31"/>
      <c r="G210" s="31"/>
      <c r="H210" s="32"/>
      <c r="I210" s="30"/>
    </row>
    <row r="211" spans="6:9">
      <c r="F211" s="31"/>
      <c r="G211" s="31"/>
      <c r="H211" s="32"/>
      <c r="I211" s="30"/>
    </row>
    <row r="212" spans="6:9">
      <c r="F212" s="31"/>
      <c r="G212" s="31"/>
      <c r="H212" s="32"/>
      <c r="I212" s="30"/>
    </row>
    <row r="213" spans="6:9">
      <c r="F213" s="31"/>
      <c r="G213" s="31"/>
      <c r="H213" s="32"/>
      <c r="I213" s="30"/>
    </row>
    <row r="214" spans="6:9">
      <c r="F214" s="31"/>
      <c r="G214" s="31"/>
      <c r="H214" s="32"/>
      <c r="I214" s="30"/>
    </row>
    <row r="215" spans="6:9">
      <c r="F215" s="31"/>
      <c r="G215" s="31"/>
      <c r="H215" s="32"/>
      <c r="I215" s="30"/>
    </row>
    <row r="216" spans="6:9">
      <c r="F216" s="31"/>
      <c r="G216" s="31"/>
      <c r="H216" s="32"/>
      <c r="I216" s="30"/>
    </row>
    <row r="217" spans="6:9">
      <c r="F217" s="31"/>
      <c r="G217" s="31"/>
      <c r="H217" s="32"/>
      <c r="I217" s="30"/>
    </row>
    <row r="218" spans="6:9">
      <c r="F218" s="31"/>
      <c r="G218" s="31"/>
      <c r="H218" s="32"/>
      <c r="I218" s="30"/>
    </row>
    <row r="219" spans="6:9">
      <c r="F219" s="31"/>
      <c r="G219" s="31"/>
      <c r="H219" s="32"/>
      <c r="I219" s="30"/>
    </row>
    <row r="220" spans="6:9">
      <c r="F220" s="31"/>
      <c r="G220" s="31"/>
      <c r="H220" s="32"/>
      <c r="I220" s="30"/>
    </row>
    <row r="221" spans="6:9">
      <c r="F221" s="31"/>
      <c r="G221" s="31"/>
      <c r="H221" s="32"/>
      <c r="I221" s="30"/>
    </row>
    <row r="222" spans="6:9">
      <c r="F222" s="31"/>
      <c r="G222" s="31"/>
      <c r="H222" s="32"/>
      <c r="I222" s="30"/>
    </row>
    <row r="223" spans="6:9">
      <c r="F223" s="31"/>
      <c r="G223" s="31"/>
      <c r="H223" s="32"/>
      <c r="I223" s="30"/>
    </row>
    <row r="224" spans="6:9">
      <c r="F224" s="31"/>
      <c r="G224" s="31"/>
      <c r="H224" s="32"/>
      <c r="I224" s="30"/>
    </row>
    <row r="225" spans="6:9">
      <c r="F225" s="31"/>
      <c r="G225" s="31"/>
      <c r="H225" s="32"/>
      <c r="I225" s="30"/>
    </row>
    <row r="226" spans="6:9">
      <c r="F226" s="31"/>
      <c r="G226" s="31"/>
      <c r="H226" s="32"/>
      <c r="I226" s="30"/>
    </row>
    <row r="227" spans="6:9">
      <c r="F227" s="31"/>
      <c r="G227" s="31"/>
      <c r="H227" s="32"/>
      <c r="I227" s="30"/>
    </row>
    <row r="228" spans="6:9">
      <c r="F228" s="31"/>
      <c r="G228" s="31"/>
      <c r="H228" s="32"/>
      <c r="I228" s="30"/>
    </row>
    <row r="229" spans="6:9">
      <c r="F229" s="31"/>
      <c r="G229" s="31"/>
      <c r="H229" s="32"/>
      <c r="I229" s="30"/>
    </row>
    <row r="230" spans="6:9">
      <c r="F230" s="31"/>
      <c r="G230" s="31"/>
      <c r="H230" s="32"/>
      <c r="I230" s="30"/>
    </row>
    <row r="231" spans="6:9">
      <c r="F231" s="31"/>
      <c r="G231" s="31"/>
      <c r="H231" s="32"/>
      <c r="I231" s="30"/>
    </row>
    <row r="232" spans="6:9">
      <c r="F232" s="31"/>
      <c r="G232" s="31"/>
      <c r="H232" s="32"/>
      <c r="I232" s="30"/>
    </row>
    <row r="233" spans="6:9">
      <c r="F233" s="31"/>
      <c r="G233" s="31"/>
      <c r="H233" s="32"/>
      <c r="I233" s="30"/>
    </row>
    <row r="234" spans="6:9">
      <c r="F234" s="31"/>
      <c r="G234" s="31"/>
      <c r="H234" s="32"/>
      <c r="I234" s="30"/>
    </row>
    <row r="235" spans="6:9">
      <c r="F235" s="31"/>
      <c r="G235" s="31"/>
      <c r="H235" s="32"/>
      <c r="I235" s="30"/>
    </row>
    <row r="236" spans="6:9">
      <c r="F236" s="31"/>
      <c r="G236" s="31"/>
      <c r="H236" s="32"/>
      <c r="I236" s="30"/>
    </row>
    <row r="237" spans="6:9">
      <c r="F237" s="31"/>
      <c r="G237" s="31"/>
      <c r="H237" s="32"/>
      <c r="I237" s="30"/>
    </row>
    <row r="238" spans="6:9">
      <c r="F238" s="31"/>
      <c r="G238" s="31"/>
      <c r="H238" s="32"/>
      <c r="I238" s="30"/>
    </row>
    <row r="239" spans="6:9">
      <c r="F239" s="31"/>
      <c r="G239" s="31"/>
      <c r="H239" s="32"/>
      <c r="I239" s="30"/>
    </row>
    <row r="240" spans="6:9">
      <c r="F240" s="31"/>
      <c r="G240" s="31"/>
      <c r="H240" s="32"/>
      <c r="I240" s="30"/>
    </row>
    <row r="241" spans="6:9">
      <c r="F241" s="31"/>
      <c r="G241" s="31"/>
      <c r="H241" s="32"/>
      <c r="I241" s="30"/>
    </row>
    <row r="242" spans="6:9">
      <c r="F242" s="31"/>
      <c r="G242" s="31"/>
      <c r="H242" s="32"/>
      <c r="I242" s="30"/>
    </row>
    <row r="243" spans="6:9">
      <c r="F243" s="31"/>
      <c r="G243" s="31"/>
      <c r="H243" s="32"/>
      <c r="I243" s="30"/>
    </row>
    <row r="244" spans="6:9">
      <c r="F244" s="31"/>
      <c r="G244" s="31"/>
      <c r="H244" s="32"/>
      <c r="I244" s="30"/>
    </row>
    <row r="245" spans="6:9">
      <c r="F245" s="31"/>
      <c r="G245" s="31"/>
      <c r="H245" s="32"/>
      <c r="I245" s="30"/>
    </row>
    <row r="246" spans="6:9">
      <c r="F246" s="31"/>
      <c r="G246" s="31"/>
      <c r="H246" s="32"/>
      <c r="I246" s="30"/>
    </row>
    <row r="247" spans="6:9">
      <c r="F247" s="31"/>
      <c r="G247" s="31"/>
      <c r="H247" s="32"/>
      <c r="I247" s="30"/>
    </row>
    <row r="248" spans="6:9">
      <c r="F248" s="31"/>
      <c r="G248" s="31"/>
      <c r="H248" s="32"/>
      <c r="I248" s="30"/>
    </row>
    <row r="249" spans="6:9">
      <c r="F249" s="31"/>
      <c r="G249" s="31"/>
      <c r="H249" s="32"/>
      <c r="I249" s="30"/>
    </row>
    <row r="250" spans="6:9">
      <c r="F250" s="31"/>
      <c r="G250" s="31"/>
      <c r="H250" s="32"/>
      <c r="I250" s="30"/>
    </row>
    <row r="251" spans="6:9">
      <c r="F251" s="31"/>
      <c r="G251" s="31"/>
      <c r="H251" s="32"/>
      <c r="I251" s="30"/>
    </row>
    <row r="252" spans="6:9">
      <c r="F252" s="31"/>
      <c r="G252" s="31"/>
      <c r="H252" s="32"/>
      <c r="I252" s="30"/>
    </row>
    <row r="253" spans="6:9">
      <c r="F253" s="31"/>
      <c r="G253" s="31"/>
      <c r="H253" s="32"/>
      <c r="I253" s="30"/>
    </row>
    <row r="254" spans="6:9">
      <c r="F254" s="31"/>
      <c r="G254" s="31"/>
      <c r="H254" s="32"/>
      <c r="I254" s="30"/>
    </row>
    <row r="255" spans="6:9">
      <c r="F255" s="31"/>
      <c r="G255" s="31"/>
      <c r="H255" s="32"/>
      <c r="I255" s="30"/>
    </row>
    <row r="256" spans="6:9">
      <c r="F256" s="31"/>
      <c r="G256" s="31"/>
      <c r="H256" s="32"/>
      <c r="I256" s="30"/>
    </row>
    <row r="257" spans="6:9">
      <c r="F257" s="31"/>
      <c r="G257" s="31"/>
      <c r="H257" s="32"/>
      <c r="I257" s="30"/>
    </row>
    <row r="258" spans="6:9">
      <c r="F258" s="31"/>
      <c r="G258" s="31"/>
      <c r="H258" s="32"/>
      <c r="I258" s="30"/>
    </row>
    <row r="259" spans="6:9">
      <c r="F259" s="31"/>
      <c r="G259" s="31"/>
      <c r="H259" s="32"/>
      <c r="I259" s="30"/>
    </row>
    <row r="260" spans="6:9">
      <c r="F260" s="31"/>
      <c r="G260" s="31"/>
      <c r="H260" s="32"/>
      <c r="I260" s="30"/>
    </row>
    <row r="261" spans="6:9">
      <c r="F261" s="31"/>
      <c r="G261" s="31"/>
      <c r="H261" s="32"/>
      <c r="I261" s="30"/>
    </row>
    <row r="262" spans="6:9">
      <c r="F262" s="31"/>
      <c r="G262" s="31"/>
      <c r="H262" s="32"/>
      <c r="I262" s="30"/>
    </row>
    <row r="263" spans="6:9">
      <c r="F263" s="31"/>
      <c r="G263" s="31"/>
      <c r="H263" s="32"/>
      <c r="I263" s="30"/>
    </row>
    <row r="264" spans="6:9">
      <c r="F264" s="31"/>
      <c r="G264" s="31"/>
      <c r="H264" s="32"/>
      <c r="I264" s="30"/>
    </row>
    <row r="265" spans="6:9">
      <c r="F265" s="31"/>
      <c r="G265" s="31"/>
      <c r="H265" s="32"/>
      <c r="I265" s="30"/>
    </row>
    <row r="266" spans="6:9">
      <c r="F266" s="31"/>
      <c r="G266" s="31"/>
      <c r="H266" s="32"/>
      <c r="I266" s="30"/>
    </row>
    <row r="267" spans="6:9">
      <c r="F267" s="31"/>
      <c r="G267" s="31"/>
      <c r="H267" s="32"/>
      <c r="I267" s="30"/>
    </row>
    <row r="268" spans="6:9">
      <c r="F268" s="31"/>
      <c r="G268" s="31"/>
      <c r="H268" s="32"/>
      <c r="I268" s="30"/>
    </row>
    <row r="269" spans="6:9">
      <c r="F269" s="31"/>
      <c r="G269" s="31"/>
      <c r="H269" s="32"/>
      <c r="I269" s="30"/>
    </row>
    <row r="270" spans="6:9">
      <c r="F270" s="31"/>
      <c r="G270" s="31"/>
      <c r="H270" s="32"/>
      <c r="I270" s="30"/>
    </row>
    <row r="271" spans="6:9">
      <c r="F271" s="31"/>
      <c r="G271" s="31"/>
      <c r="H271" s="32"/>
      <c r="I271" s="30"/>
    </row>
    <row r="272" spans="6:9">
      <c r="F272" s="31"/>
      <c r="G272" s="31"/>
      <c r="H272" s="32"/>
      <c r="I272" s="30"/>
    </row>
    <row r="273" spans="6:9">
      <c r="F273" s="31"/>
      <c r="G273" s="31"/>
      <c r="H273" s="32"/>
      <c r="I273" s="30"/>
    </row>
    <row r="274" spans="6:9">
      <c r="F274" s="31"/>
      <c r="G274" s="31"/>
      <c r="H274" s="32"/>
      <c r="I274" s="30"/>
    </row>
    <row r="275" spans="6:9">
      <c r="F275" s="31"/>
      <c r="G275" s="31"/>
      <c r="H275" s="32"/>
      <c r="I275" s="30"/>
    </row>
    <row r="276" spans="6:9">
      <c r="F276" s="31"/>
      <c r="G276" s="31"/>
      <c r="H276" s="32"/>
      <c r="I276" s="30"/>
    </row>
    <row r="277" spans="6:9">
      <c r="F277" s="31"/>
      <c r="G277" s="31"/>
      <c r="H277" s="32"/>
      <c r="I277" s="30"/>
    </row>
    <row r="278" spans="6:9">
      <c r="F278" s="31"/>
      <c r="G278" s="31"/>
      <c r="H278" s="32"/>
      <c r="I278" s="30"/>
    </row>
    <row r="279" spans="6:9">
      <c r="F279" s="31"/>
      <c r="G279" s="31"/>
      <c r="H279" s="32"/>
      <c r="I279" s="30"/>
    </row>
    <row r="280" spans="6:9">
      <c r="F280" s="31"/>
      <c r="G280" s="31"/>
      <c r="H280" s="32"/>
      <c r="I280" s="30"/>
    </row>
    <row r="281" spans="6:9">
      <c r="F281" s="31"/>
      <c r="G281" s="31"/>
      <c r="H281" s="32"/>
      <c r="I281" s="30"/>
    </row>
    <row r="282" spans="6:9">
      <c r="F282" s="31"/>
      <c r="G282" s="31"/>
      <c r="H282" s="32"/>
      <c r="I282" s="30"/>
    </row>
    <row r="283" spans="6:9">
      <c r="F283" s="31"/>
      <c r="G283" s="31"/>
      <c r="H283" s="32"/>
      <c r="I283" s="30"/>
    </row>
    <row r="284" spans="6:9">
      <c r="F284" s="31"/>
      <c r="G284" s="31"/>
      <c r="H284" s="32"/>
      <c r="I284" s="30"/>
    </row>
    <row r="285" spans="6:9">
      <c r="F285" s="31"/>
      <c r="G285" s="31"/>
      <c r="H285" s="32"/>
      <c r="I285" s="30"/>
    </row>
    <row r="286" spans="6:9">
      <c r="F286" s="31"/>
      <c r="G286" s="31"/>
      <c r="H286" s="32"/>
      <c r="I286" s="30"/>
    </row>
    <row r="287" spans="6:9">
      <c r="F287" s="31"/>
      <c r="G287" s="31"/>
      <c r="H287" s="32"/>
      <c r="I287" s="30"/>
    </row>
    <row r="288" spans="6:9">
      <c r="F288" s="31"/>
      <c r="G288" s="31"/>
      <c r="H288" s="32"/>
      <c r="I288" s="30"/>
    </row>
    <row r="289" spans="6:9">
      <c r="F289" s="31"/>
      <c r="G289" s="31"/>
      <c r="H289" s="32"/>
      <c r="I289" s="30"/>
    </row>
    <row r="290" spans="6:9">
      <c r="F290" s="31"/>
      <c r="G290" s="31"/>
      <c r="H290" s="32"/>
      <c r="I290" s="30"/>
    </row>
    <row r="291" spans="6:9">
      <c r="F291" s="31"/>
      <c r="G291" s="31"/>
      <c r="H291" s="32"/>
      <c r="I291" s="30"/>
    </row>
    <row r="292" spans="6:9">
      <c r="F292" s="31"/>
      <c r="G292" s="31"/>
      <c r="H292" s="32"/>
      <c r="I292" s="30"/>
    </row>
    <row r="293" spans="6:9">
      <c r="F293" s="31"/>
      <c r="G293" s="31"/>
      <c r="H293" s="32"/>
      <c r="I293" s="30"/>
    </row>
    <row r="294" spans="6:9">
      <c r="F294" s="31"/>
      <c r="G294" s="31"/>
      <c r="H294" s="32"/>
      <c r="I294" s="30"/>
    </row>
    <row r="295" spans="6:9">
      <c r="F295" s="31"/>
      <c r="G295" s="31"/>
      <c r="H295" s="32"/>
      <c r="I295" s="30"/>
    </row>
    <row r="296" spans="6:9">
      <c r="F296" s="31"/>
      <c r="G296" s="31"/>
      <c r="H296" s="32"/>
      <c r="I296" s="30"/>
    </row>
    <row r="297" spans="6:9">
      <c r="F297" s="31"/>
      <c r="G297" s="31"/>
      <c r="H297" s="32"/>
      <c r="I297" s="30"/>
    </row>
    <row r="298" spans="6:9">
      <c r="F298" s="31"/>
      <c r="G298" s="31"/>
      <c r="H298" s="32"/>
      <c r="I298" s="30"/>
    </row>
    <row r="299" spans="6:9">
      <c r="F299" s="31"/>
      <c r="G299" s="31"/>
      <c r="H299" s="32"/>
      <c r="I299" s="30"/>
    </row>
    <row r="300" spans="6:9">
      <c r="F300" s="31"/>
      <c r="G300" s="31"/>
      <c r="H300" s="32"/>
      <c r="I300" s="30"/>
    </row>
    <row r="301" spans="6:9">
      <c r="F301" s="31"/>
      <c r="G301" s="31"/>
      <c r="H301" s="32"/>
      <c r="I301" s="30"/>
    </row>
    <row r="302" spans="6:9">
      <c r="F302" s="31"/>
      <c r="G302" s="31"/>
      <c r="H302" s="32"/>
      <c r="I302" s="30"/>
    </row>
    <row r="303" spans="6:9">
      <c r="F303" s="16"/>
      <c r="G303" s="16"/>
      <c r="I303" s="30"/>
    </row>
    <row r="304" spans="6:9">
      <c r="F304" s="16"/>
      <c r="G304" s="16"/>
      <c r="I304" s="30"/>
    </row>
    <row r="305" spans="6:9">
      <c r="F305" s="16"/>
      <c r="G305" s="16"/>
      <c r="I305" s="30"/>
    </row>
    <row r="306" spans="6:9">
      <c r="F306" s="16"/>
      <c r="G306" s="16"/>
      <c r="I306" s="30"/>
    </row>
    <row r="307" spans="6:9">
      <c r="F307" s="16"/>
      <c r="G307" s="16"/>
      <c r="I307" s="30"/>
    </row>
    <row r="308" spans="6:9">
      <c r="F308" s="16"/>
      <c r="G308" s="16"/>
      <c r="I308" s="30"/>
    </row>
    <row r="309" spans="6:9">
      <c r="F309" s="16"/>
      <c r="G309" s="16"/>
      <c r="I309" s="30"/>
    </row>
    <row r="310" spans="6:9">
      <c r="F310" s="16"/>
      <c r="G310" s="16"/>
      <c r="I310" s="30"/>
    </row>
    <row r="311" spans="6:9">
      <c r="F311" s="16"/>
      <c r="G311" s="16"/>
      <c r="I311" s="30"/>
    </row>
    <row r="312" spans="6:9">
      <c r="F312" s="16"/>
      <c r="G312" s="16"/>
      <c r="I312" s="30"/>
    </row>
    <row r="313" spans="6:9">
      <c r="F313" s="16"/>
      <c r="G313" s="16"/>
      <c r="I313" s="30"/>
    </row>
    <row r="314" spans="6:9">
      <c r="F314" s="16"/>
      <c r="G314" s="16"/>
      <c r="I314" s="30"/>
    </row>
    <row r="315" spans="6:9">
      <c r="F315" s="16"/>
      <c r="G315" s="16"/>
      <c r="I315" s="30"/>
    </row>
    <row r="316" spans="6:9">
      <c r="F316" s="16"/>
      <c r="G316" s="16"/>
      <c r="I316" s="30"/>
    </row>
    <row r="317" spans="6:9">
      <c r="F317" s="16"/>
      <c r="G317" s="16"/>
      <c r="I317" s="30"/>
    </row>
    <row r="318" spans="6:9">
      <c r="F318" s="16"/>
      <c r="G318" s="16"/>
      <c r="I318" s="30"/>
    </row>
    <row r="319" spans="6:9">
      <c r="F319" s="16"/>
      <c r="G319" s="16"/>
      <c r="I319" s="30"/>
    </row>
    <row r="320" spans="6:9">
      <c r="F320" s="16"/>
      <c r="G320" s="16"/>
      <c r="I320" s="30"/>
    </row>
    <row r="321" spans="6:9">
      <c r="F321" s="16"/>
      <c r="G321" s="16"/>
      <c r="I321" s="30"/>
    </row>
    <row r="322" spans="6:9">
      <c r="F322" s="16"/>
      <c r="G322" s="16"/>
      <c r="I322" s="30"/>
    </row>
    <row r="323" spans="6:9">
      <c r="F323" s="16"/>
      <c r="G323" s="16"/>
      <c r="I323" s="30"/>
    </row>
    <row r="324" spans="6:9">
      <c r="F324" s="16"/>
      <c r="G324" s="16"/>
      <c r="I324" s="30"/>
    </row>
    <row r="325" spans="6:9">
      <c r="F325" s="16"/>
      <c r="G325" s="16"/>
      <c r="I325" s="30"/>
    </row>
    <row r="326" spans="6:9">
      <c r="F326" s="16"/>
      <c r="G326" s="16"/>
      <c r="I326" s="30"/>
    </row>
    <row r="327" spans="6:9">
      <c r="F327" s="16"/>
      <c r="G327" s="16"/>
      <c r="I327" s="30"/>
    </row>
    <row r="328" spans="6:9">
      <c r="F328" s="16"/>
      <c r="G328" s="16"/>
      <c r="I328" s="30"/>
    </row>
    <row r="329" spans="6:9">
      <c r="F329" s="16"/>
      <c r="G329" s="16"/>
      <c r="I329" s="30"/>
    </row>
    <row r="330" spans="6:9">
      <c r="F330" s="16"/>
      <c r="G330" s="16"/>
      <c r="I330" s="30"/>
    </row>
    <row r="331" spans="6:9">
      <c r="F331" s="16"/>
      <c r="G331" s="16"/>
      <c r="I331" s="30"/>
    </row>
    <row r="332" spans="6:9">
      <c r="F332" s="16"/>
      <c r="G332" s="16"/>
      <c r="I332" s="30"/>
    </row>
    <row r="333" spans="6:9">
      <c r="F333" s="16"/>
      <c r="G333" s="16"/>
      <c r="I333" s="30"/>
    </row>
    <row r="334" spans="6:9">
      <c r="F334" s="16"/>
      <c r="G334" s="16"/>
      <c r="I334" s="30"/>
    </row>
    <row r="335" spans="6:9">
      <c r="F335" s="16"/>
      <c r="G335" s="16"/>
      <c r="I335" s="30"/>
    </row>
    <row r="336" spans="6:9">
      <c r="F336" s="16"/>
      <c r="G336" s="16"/>
      <c r="I336" s="30"/>
    </row>
    <row r="337" spans="6:9">
      <c r="F337" s="16"/>
      <c r="G337" s="16"/>
      <c r="I337" s="30"/>
    </row>
    <row r="338" spans="6:9">
      <c r="F338" s="16"/>
      <c r="G338" s="16"/>
      <c r="I338" s="30"/>
    </row>
    <row r="339" spans="6:9">
      <c r="F339" s="16"/>
      <c r="G339" s="16"/>
      <c r="I339" s="30"/>
    </row>
    <row r="340" spans="6:9">
      <c r="F340" s="16"/>
      <c r="G340" s="16"/>
      <c r="I340" s="30"/>
    </row>
    <row r="341" spans="6:9">
      <c r="F341" s="16"/>
      <c r="G341" s="16"/>
      <c r="I341" s="30"/>
    </row>
    <row r="342" spans="6:9">
      <c r="F342" s="16"/>
      <c r="G342" s="16"/>
      <c r="I342" s="30"/>
    </row>
    <row r="343" spans="6:9">
      <c r="F343" s="16"/>
      <c r="G343" s="16"/>
      <c r="I343" s="30"/>
    </row>
    <row r="344" spans="6:9">
      <c r="F344" s="16"/>
      <c r="G344" s="16"/>
      <c r="I344" s="30"/>
    </row>
    <row r="345" spans="6:9">
      <c r="F345" s="16"/>
      <c r="G345" s="16"/>
      <c r="I345" s="30"/>
    </row>
    <row r="346" spans="6:9">
      <c r="F346" s="16"/>
      <c r="G346" s="16"/>
      <c r="I346" s="30"/>
    </row>
    <row r="347" spans="6:9">
      <c r="F347" s="16"/>
      <c r="G347" s="16"/>
      <c r="I347" s="30"/>
    </row>
    <row r="348" spans="6:9">
      <c r="F348" s="16"/>
      <c r="G348" s="16"/>
      <c r="I348" s="30"/>
    </row>
    <row r="349" spans="6:9">
      <c r="F349" s="16"/>
      <c r="G349" s="16"/>
      <c r="I349" s="30"/>
    </row>
    <row r="350" spans="6:9">
      <c r="F350" s="16"/>
      <c r="G350" s="16"/>
      <c r="I350" s="30"/>
    </row>
    <row r="351" spans="6:9">
      <c r="F351" s="16"/>
      <c r="G351" s="16"/>
      <c r="I351" s="30"/>
    </row>
    <row r="352" spans="6:9">
      <c r="F352" s="16"/>
      <c r="G352" s="16"/>
      <c r="I352" s="30"/>
    </row>
    <row r="353" spans="6:9">
      <c r="F353" s="16"/>
      <c r="G353" s="16"/>
      <c r="I353" s="30"/>
    </row>
    <row r="354" spans="6:9">
      <c r="F354" s="16"/>
      <c r="G354" s="16"/>
      <c r="I354" s="30"/>
    </row>
    <row r="355" spans="6:9">
      <c r="F355" s="16"/>
      <c r="G355" s="16"/>
      <c r="I355" s="30"/>
    </row>
    <row r="356" spans="6:9">
      <c r="F356" s="16"/>
      <c r="G356" s="16"/>
      <c r="I356" s="30"/>
    </row>
    <row r="357" spans="6:9">
      <c r="F357" s="16"/>
      <c r="G357" s="16"/>
      <c r="I357" s="30"/>
    </row>
    <row r="358" spans="6:9">
      <c r="F358" s="16"/>
      <c r="G358" s="16"/>
      <c r="I358" s="30"/>
    </row>
    <row r="359" spans="6:9">
      <c r="F359" s="16"/>
      <c r="G359" s="16"/>
      <c r="I359" s="30"/>
    </row>
    <row r="360" spans="6:9">
      <c r="F360" s="16"/>
      <c r="G360" s="16"/>
      <c r="I360" s="30"/>
    </row>
    <row r="361" spans="6:9">
      <c r="F361" s="16"/>
      <c r="G361" s="16"/>
      <c r="I361" s="30"/>
    </row>
    <row r="362" spans="6:9">
      <c r="F362" s="16"/>
      <c r="G362" s="16"/>
      <c r="I362" s="30"/>
    </row>
    <row r="363" spans="6:9">
      <c r="F363" s="16"/>
      <c r="G363" s="16"/>
      <c r="I363" s="30"/>
    </row>
    <row r="364" spans="6:9">
      <c r="F364" s="16"/>
      <c r="G364" s="16"/>
      <c r="I364" s="30"/>
    </row>
    <row r="365" spans="6:9">
      <c r="F365" s="16"/>
      <c r="G365" s="16"/>
      <c r="I365" s="30"/>
    </row>
    <row r="366" spans="6:9">
      <c r="F366" s="16"/>
      <c r="G366" s="16"/>
      <c r="I366" s="30"/>
    </row>
    <row r="367" spans="6:9">
      <c r="F367" s="16"/>
      <c r="G367" s="16"/>
      <c r="I367" s="30"/>
    </row>
    <row r="368" spans="6:9">
      <c r="F368" s="16"/>
      <c r="G368" s="16"/>
      <c r="I368" s="30"/>
    </row>
    <row r="369" spans="6:9">
      <c r="F369" s="16"/>
      <c r="G369" s="16"/>
      <c r="I369" s="30"/>
    </row>
    <row r="370" spans="6:9">
      <c r="F370" s="16"/>
      <c r="G370" s="16"/>
      <c r="I370" s="30"/>
    </row>
    <row r="371" spans="6:9">
      <c r="F371" s="16"/>
      <c r="G371" s="16"/>
      <c r="I371" s="30"/>
    </row>
    <row r="372" spans="6:9">
      <c r="F372" s="16"/>
      <c r="G372" s="16"/>
      <c r="I372" s="30"/>
    </row>
    <row r="373" spans="6:9">
      <c r="F373" s="16"/>
      <c r="G373" s="16"/>
      <c r="I373" s="30"/>
    </row>
    <row r="374" spans="6:9">
      <c r="F374" s="16"/>
      <c r="G374" s="16"/>
      <c r="I374" s="30"/>
    </row>
    <row r="375" spans="6:9">
      <c r="F375" s="16"/>
      <c r="G375" s="16"/>
      <c r="I375" s="30"/>
    </row>
    <row r="376" spans="6:9">
      <c r="F376" s="16"/>
      <c r="G376" s="16"/>
      <c r="I376" s="30"/>
    </row>
    <row r="377" spans="6:9">
      <c r="F377" s="16"/>
      <c r="G377" s="16"/>
      <c r="I377" s="30"/>
    </row>
    <row r="378" spans="6:9">
      <c r="F378" s="16"/>
      <c r="G378" s="16"/>
      <c r="I378" s="30"/>
    </row>
    <row r="379" spans="6:9">
      <c r="F379" s="16"/>
      <c r="G379" s="16"/>
      <c r="I379" s="30"/>
    </row>
    <row r="380" spans="6:9">
      <c r="F380" s="16"/>
      <c r="G380" s="16"/>
      <c r="I380" s="30"/>
    </row>
    <row r="381" spans="6:9">
      <c r="F381" s="16"/>
      <c r="G381" s="16"/>
      <c r="I381" s="30"/>
    </row>
    <row r="382" spans="6:9">
      <c r="F382" s="16"/>
      <c r="G382" s="16"/>
      <c r="I382" s="30"/>
    </row>
    <row r="383" spans="6:9">
      <c r="F383" s="16"/>
      <c r="G383" s="16"/>
      <c r="I383" s="30"/>
    </row>
    <row r="384" spans="6:9">
      <c r="F384" s="16"/>
      <c r="G384" s="16"/>
      <c r="I384" s="30"/>
    </row>
    <row r="385" spans="6:9">
      <c r="F385" s="16"/>
      <c r="G385" s="16"/>
      <c r="I385" s="30"/>
    </row>
    <row r="386" spans="6:9">
      <c r="F386" s="16"/>
      <c r="G386" s="16"/>
      <c r="I386" s="30"/>
    </row>
    <row r="387" spans="6:9">
      <c r="F387" s="16"/>
      <c r="G387" s="16"/>
      <c r="I387" s="30"/>
    </row>
    <row r="388" spans="6:9">
      <c r="F388" s="16"/>
      <c r="G388" s="16"/>
      <c r="I388" s="30"/>
    </row>
    <row r="389" spans="6:9">
      <c r="F389" s="16"/>
      <c r="G389" s="16"/>
      <c r="I389" s="30"/>
    </row>
    <row r="390" spans="6:9">
      <c r="F390" s="16"/>
      <c r="G390" s="16"/>
      <c r="I390" s="30"/>
    </row>
    <row r="391" spans="6:9">
      <c r="F391" s="16"/>
      <c r="G391" s="16"/>
      <c r="I391" s="30"/>
    </row>
    <row r="392" spans="6:9">
      <c r="F392" s="16"/>
      <c r="G392" s="16"/>
      <c r="I392" s="30"/>
    </row>
    <row r="393" spans="6:9">
      <c r="F393" s="16"/>
      <c r="G393" s="16"/>
      <c r="I393" s="30"/>
    </row>
    <row r="394" spans="6:9">
      <c r="F394" s="16"/>
      <c r="G394" s="16"/>
      <c r="I394" s="30"/>
    </row>
    <row r="395" spans="6:9">
      <c r="F395" s="16"/>
      <c r="G395" s="16"/>
      <c r="I395" s="30"/>
    </row>
    <row r="396" spans="6:9">
      <c r="F396" s="16"/>
      <c r="G396" s="16"/>
      <c r="I396" s="30"/>
    </row>
    <row r="397" spans="6:9">
      <c r="F397" s="16"/>
      <c r="G397" s="16"/>
      <c r="I397" s="30"/>
    </row>
    <row r="398" spans="6:9">
      <c r="F398" s="16"/>
      <c r="G398" s="16"/>
      <c r="I398" s="30"/>
    </row>
    <row r="399" spans="6:9">
      <c r="F399" s="16"/>
      <c r="G399" s="16"/>
      <c r="I399" s="30"/>
    </row>
    <row r="400" spans="6:9">
      <c r="F400" s="16"/>
      <c r="G400" s="16"/>
      <c r="I400" s="30"/>
    </row>
    <row r="401" spans="6:9">
      <c r="F401" s="16"/>
      <c r="G401" s="16"/>
      <c r="I401" s="30"/>
    </row>
    <row r="402" spans="6:9">
      <c r="F402" s="16"/>
      <c r="G402" s="16"/>
      <c r="I402" s="30"/>
    </row>
    <row r="403" spans="6:9">
      <c r="F403" s="16"/>
      <c r="G403" s="16"/>
      <c r="I403" s="30"/>
    </row>
    <row r="404" spans="6:9">
      <c r="F404" s="16"/>
      <c r="G404" s="16"/>
      <c r="I404" s="30"/>
    </row>
    <row r="405" spans="6:9">
      <c r="F405" s="16"/>
      <c r="G405" s="16"/>
      <c r="I405" s="30"/>
    </row>
    <row r="406" spans="6:9">
      <c r="F406" s="16"/>
      <c r="G406" s="16"/>
      <c r="I406" s="30"/>
    </row>
    <row r="407" spans="6:9">
      <c r="F407" s="16"/>
      <c r="G407" s="16"/>
      <c r="I407" s="30"/>
    </row>
    <row r="408" spans="6:9">
      <c r="F408" s="16"/>
      <c r="G408" s="16"/>
      <c r="I408" s="30"/>
    </row>
    <row r="409" spans="6:9">
      <c r="F409" s="16"/>
      <c r="G409" s="16"/>
      <c r="I409" s="30"/>
    </row>
    <row r="410" spans="6:9">
      <c r="F410" s="16"/>
      <c r="G410" s="16"/>
      <c r="I410" s="30"/>
    </row>
    <row r="411" spans="6:9">
      <c r="F411" s="16"/>
      <c r="G411" s="16"/>
      <c r="I411" s="30"/>
    </row>
    <row r="412" spans="6:9">
      <c r="F412" s="16"/>
      <c r="G412" s="16"/>
      <c r="I412" s="30"/>
    </row>
    <row r="413" spans="6:9">
      <c r="F413" s="16"/>
      <c r="G413" s="16"/>
      <c r="I413" s="30"/>
    </row>
    <row r="414" spans="6:9">
      <c r="F414" s="16"/>
      <c r="G414" s="16"/>
      <c r="I414" s="30"/>
    </row>
    <row r="415" spans="6:9">
      <c r="F415" s="16"/>
      <c r="G415" s="16"/>
      <c r="I415" s="30"/>
    </row>
    <row r="416" spans="6:9">
      <c r="F416" s="16"/>
      <c r="G416" s="16"/>
      <c r="I416" s="30"/>
    </row>
    <row r="417" spans="6:9">
      <c r="F417" s="16"/>
      <c r="G417" s="16"/>
      <c r="I417" s="30"/>
    </row>
    <row r="418" spans="6:9">
      <c r="F418" s="16"/>
      <c r="G418" s="16"/>
      <c r="I418" s="30"/>
    </row>
    <row r="419" spans="6:9">
      <c r="F419" s="16"/>
      <c r="G419" s="16"/>
      <c r="I419" s="30"/>
    </row>
    <row r="420" spans="6:9">
      <c r="F420" s="16"/>
      <c r="G420" s="16"/>
      <c r="I420" s="30"/>
    </row>
    <row r="421" spans="6:9">
      <c r="F421" s="16"/>
      <c r="G421" s="16"/>
      <c r="I421" s="30"/>
    </row>
    <row r="422" spans="6:9">
      <c r="F422" s="16"/>
      <c r="G422" s="16"/>
      <c r="I422" s="30"/>
    </row>
    <row r="423" spans="6:9">
      <c r="F423" s="16"/>
      <c r="G423" s="16"/>
      <c r="I423" s="30"/>
    </row>
    <row r="424" spans="6:9">
      <c r="F424" s="16"/>
      <c r="G424" s="16"/>
      <c r="I424" s="30"/>
    </row>
    <row r="425" spans="6:9">
      <c r="F425" s="16"/>
      <c r="G425" s="16"/>
      <c r="I425" s="30"/>
    </row>
    <row r="426" spans="6:9">
      <c r="F426" s="16"/>
      <c r="G426" s="16"/>
      <c r="I426" s="30"/>
    </row>
    <row r="427" spans="6:9">
      <c r="F427" s="16"/>
      <c r="G427" s="16"/>
      <c r="I427" s="30"/>
    </row>
    <row r="428" spans="6:9">
      <c r="F428" s="16"/>
      <c r="G428" s="16"/>
      <c r="I428" s="30"/>
    </row>
    <row r="429" spans="6:9">
      <c r="F429" s="16"/>
      <c r="G429" s="16"/>
      <c r="I429" s="30"/>
    </row>
    <row r="430" spans="6:9">
      <c r="F430" s="16"/>
      <c r="G430" s="16"/>
      <c r="I430" s="30"/>
    </row>
    <row r="431" spans="6:9">
      <c r="F431" s="16"/>
      <c r="G431" s="16"/>
      <c r="I431" s="30"/>
    </row>
    <row r="432" spans="6:9">
      <c r="F432" s="16"/>
      <c r="G432" s="16"/>
      <c r="I432" s="30"/>
    </row>
    <row r="433" spans="6:9">
      <c r="F433" s="16"/>
      <c r="G433" s="16"/>
      <c r="I433" s="30"/>
    </row>
    <row r="434" spans="6:9">
      <c r="F434" s="16"/>
      <c r="G434" s="16"/>
      <c r="I434" s="30"/>
    </row>
    <row r="435" spans="6:9">
      <c r="F435" s="16"/>
      <c r="G435" s="16"/>
      <c r="I435" s="30"/>
    </row>
    <row r="436" spans="6:9">
      <c r="F436" s="16"/>
      <c r="G436" s="16"/>
      <c r="I436" s="30"/>
    </row>
    <row r="437" spans="6:9">
      <c r="F437" s="16"/>
      <c r="G437" s="16"/>
      <c r="I437" s="30"/>
    </row>
    <row r="438" spans="6:9">
      <c r="F438" s="16"/>
      <c r="G438" s="16"/>
      <c r="I438" s="30"/>
    </row>
    <row r="439" spans="6:9">
      <c r="F439" s="16"/>
      <c r="G439" s="16"/>
      <c r="I439" s="30"/>
    </row>
    <row r="440" spans="6:9">
      <c r="F440" s="16"/>
      <c r="G440" s="16"/>
      <c r="I440" s="30"/>
    </row>
    <row r="441" spans="6:9">
      <c r="F441" s="16"/>
      <c r="G441" s="16"/>
      <c r="I441" s="30"/>
    </row>
    <row r="442" spans="6:9">
      <c r="F442" s="16"/>
      <c r="G442" s="16"/>
      <c r="I442" s="30"/>
    </row>
    <row r="443" spans="6:9">
      <c r="F443" s="16"/>
      <c r="G443" s="16"/>
      <c r="I443" s="30"/>
    </row>
    <row r="444" spans="6:9">
      <c r="F444" s="16"/>
      <c r="G444" s="16"/>
      <c r="I444" s="30"/>
    </row>
    <row r="445" spans="6:9">
      <c r="F445" s="16"/>
      <c r="G445" s="16"/>
      <c r="I445" s="30"/>
    </row>
    <row r="446" spans="6:9">
      <c r="F446" s="16"/>
      <c r="G446" s="16"/>
      <c r="I446" s="30"/>
    </row>
    <row r="447" spans="6:9">
      <c r="F447" s="16"/>
      <c r="G447" s="16"/>
      <c r="I447" s="30"/>
    </row>
    <row r="448" spans="6:9">
      <c r="F448" s="16"/>
      <c r="G448" s="16"/>
      <c r="I448" s="30"/>
    </row>
    <row r="449" spans="6:9">
      <c r="F449" s="16"/>
      <c r="G449" s="16"/>
      <c r="I449" s="30"/>
    </row>
    <row r="450" spans="6:9">
      <c r="F450" s="16"/>
      <c r="G450" s="16"/>
      <c r="I450" s="30"/>
    </row>
    <row r="451" spans="6:9">
      <c r="F451" s="16"/>
      <c r="G451" s="16"/>
      <c r="I451" s="30"/>
    </row>
    <row r="452" spans="6:9">
      <c r="F452" s="16"/>
      <c r="G452" s="16"/>
      <c r="I452" s="30"/>
    </row>
    <row r="453" spans="6:9">
      <c r="F453" s="16"/>
      <c r="G453" s="16"/>
      <c r="I453" s="30"/>
    </row>
    <row r="454" spans="6:9">
      <c r="F454" s="16"/>
      <c r="G454" s="16"/>
      <c r="I454" s="30"/>
    </row>
    <row r="455" spans="6:9">
      <c r="F455" s="16"/>
      <c r="G455" s="16"/>
      <c r="I455" s="30"/>
    </row>
    <row r="456" spans="6:9">
      <c r="F456" s="16"/>
      <c r="G456" s="16"/>
      <c r="I456" s="30"/>
    </row>
    <row r="457" spans="6:9">
      <c r="F457" s="16"/>
      <c r="G457" s="16"/>
      <c r="I457" s="30"/>
    </row>
    <row r="458" spans="6:9">
      <c r="F458" s="16"/>
      <c r="G458" s="16"/>
      <c r="I458" s="30"/>
    </row>
    <row r="459" spans="6:9">
      <c r="F459" s="16"/>
      <c r="G459" s="16"/>
      <c r="I459" s="30"/>
    </row>
    <row r="460" spans="6:9">
      <c r="F460" s="16"/>
      <c r="G460" s="16"/>
      <c r="I460" s="30"/>
    </row>
    <row r="461" spans="6:9">
      <c r="F461" s="16"/>
      <c r="G461" s="16"/>
      <c r="I461" s="30"/>
    </row>
    <row r="462" spans="6:9">
      <c r="F462" s="16"/>
      <c r="G462" s="16"/>
      <c r="I462" s="30"/>
    </row>
    <row r="463" spans="6:9">
      <c r="F463" s="16"/>
      <c r="G463" s="16"/>
      <c r="I463" s="30"/>
    </row>
    <row r="464" spans="6:9">
      <c r="F464" s="16"/>
      <c r="G464" s="16"/>
      <c r="I464" s="30"/>
    </row>
    <row r="465" spans="6:9">
      <c r="F465" s="16"/>
      <c r="G465" s="16"/>
      <c r="I465" s="30"/>
    </row>
    <row r="466" spans="6:9">
      <c r="F466" s="16"/>
      <c r="G466" s="16"/>
      <c r="I466" s="30"/>
    </row>
    <row r="467" spans="6:9">
      <c r="F467" s="16"/>
      <c r="G467" s="16"/>
      <c r="I467" s="30"/>
    </row>
    <row r="468" spans="6:9">
      <c r="F468" s="16"/>
      <c r="G468" s="16"/>
      <c r="I468" s="30"/>
    </row>
    <row r="469" spans="6:9">
      <c r="F469" s="16"/>
      <c r="G469" s="16"/>
      <c r="I469" s="30"/>
    </row>
    <row r="470" spans="6:9">
      <c r="F470" s="16"/>
      <c r="G470" s="16"/>
      <c r="I470" s="30"/>
    </row>
    <row r="471" spans="6:9">
      <c r="F471" s="16"/>
      <c r="G471" s="16"/>
      <c r="I471" s="30"/>
    </row>
    <row r="472" spans="6:9">
      <c r="F472" s="16"/>
      <c r="G472" s="16"/>
      <c r="I472" s="30"/>
    </row>
    <row r="473" spans="6:9">
      <c r="F473" s="16"/>
      <c r="G473" s="16"/>
      <c r="I473" s="30"/>
    </row>
    <row r="474" spans="6:9">
      <c r="F474" s="16"/>
      <c r="G474" s="16"/>
      <c r="I474" s="30"/>
    </row>
    <row r="475" spans="6:9">
      <c r="F475" s="16"/>
      <c r="G475" s="16"/>
      <c r="I475" s="30"/>
    </row>
    <row r="476" spans="6:9">
      <c r="F476" s="16"/>
      <c r="G476" s="16"/>
      <c r="I476" s="30"/>
    </row>
    <row r="477" spans="6:9">
      <c r="F477" s="16"/>
      <c r="G477" s="16"/>
      <c r="I477" s="30"/>
    </row>
    <row r="478" spans="6:9">
      <c r="F478" s="16"/>
      <c r="G478" s="16"/>
      <c r="I478" s="30"/>
    </row>
    <row r="479" spans="6:9">
      <c r="F479" s="16"/>
      <c r="G479" s="16"/>
      <c r="I479" s="30"/>
    </row>
    <row r="480" spans="6:9">
      <c r="F480" s="16"/>
      <c r="G480" s="16"/>
      <c r="I480" s="30"/>
    </row>
    <row r="481" spans="6:9">
      <c r="F481" s="16"/>
      <c r="G481" s="16"/>
      <c r="I481" s="30"/>
    </row>
    <row r="482" spans="6:9">
      <c r="F482" s="16"/>
      <c r="G482" s="16"/>
      <c r="I482" s="30"/>
    </row>
    <row r="483" spans="6:9">
      <c r="F483" s="16"/>
      <c r="G483" s="16"/>
      <c r="I483" s="30"/>
    </row>
    <row r="484" spans="6:9">
      <c r="F484" s="16"/>
      <c r="G484" s="16"/>
      <c r="I484" s="30"/>
    </row>
    <row r="485" spans="6:9">
      <c r="F485" s="16"/>
      <c r="G485" s="16"/>
      <c r="I485" s="30"/>
    </row>
    <row r="486" spans="6:9">
      <c r="F486" s="16"/>
      <c r="G486" s="16"/>
      <c r="I486" s="30"/>
    </row>
    <row r="487" spans="6:9">
      <c r="F487" s="16"/>
      <c r="G487" s="16"/>
      <c r="I487" s="30"/>
    </row>
    <row r="488" spans="6:9">
      <c r="F488" s="16"/>
      <c r="G488" s="16"/>
      <c r="I488" s="30"/>
    </row>
    <row r="489" spans="6:9">
      <c r="F489" s="16"/>
      <c r="G489" s="16"/>
      <c r="I489" s="30"/>
    </row>
    <row r="490" spans="6:9">
      <c r="F490" s="16"/>
      <c r="G490" s="16"/>
      <c r="I490" s="30"/>
    </row>
    <row r="491" spans="6:9">
      <c r="F491" s="16"/>
      <c r="G491" s="16"/>
      <c r="I491" s="30"/>
    </row>
    <row r="492" spans="6:9">
      <c r="F492" s="16"/>
      <c r="G492" s="16"/>
      <c r="I492" s="30"/>
    </row>
    <row r="493" spans="6:9">
      <c r="F493" s="16"/>
      <c r="G493" s="16"/>
      <c r="I493" s="30"/>
    </row>
    <row r="494" spans="6:9">
      <c r="F494" s="16"/>
      <c r="G494" s="16"/>
      <c r="I494" s="30"/>
    </row>
    <row r="495" spans="6:9">
      <c r="F495" s="16"/>
      <c r="G495" s="16"/>
      <c r="I495" s="30"/>
    </row>
    <row r="496" spans="6:9">
      <c r="F496" s="16"/>
      <c r="G496" s="16"/>
      <c r="I496" s="30"/>
    </row>
    <row r="497" spans="6:9">
      <c r="F497" s="16"/>
      <c r="G497" s="16"/>
      <c r="I497" s="30"/>
    </row>
    <row r="498" spans="6:9">
      <c r="F498" s="16"/>
      <c r="G498" s="16"/>
      <c r="I498" s="30"/>
    </row>
    <row r="499" spans="6:9">
      <c r="F499" s="16"/>
      <c r="G499" s="16"/>
      <c r="I499" s="30"/>
    </row>
    <row r="500" spans="6:9">
      <c r="F500" s="16"/>
      <c r="G500" s="16"/>
      <c r="I500" s="30"/>
    </row>
    <row r="501" spans="6:9">
      <c r="F501" s="16"/>
      <c r="G501" s="16"/>
      <c r="I501" s="30"/>
    </row>
    <row r="502" spans="6:9">
      <c r="F502" s="16"/>
      <c r="G502" s="16"/>
      <c r="I502" s="30"/>
    </row>
    <row r="503" spans="6:9">
      <c r="F503" s="16"/>
      <c r="G503" s="16"/>
      <c r="I503" s="30"/>
    </row>
    <row r="504" spans="6:9">
      <c r="F504" s="16"/>
      <c r="G504" s="16"/>
      <c r="I504" s="30"/>
    </row>
    <row r="505" spans="6:9">
      <c r="F505" s="16"/>
      <c r="G505" s="16"/>
      <c r="I505" s="30"/>
    </row>
    <row r="506" spans="6:9">
      <c r="F506" s="16"/>
      <c r="G506" s="16"/>
      <c r="I506" s="30"/>
    </row>
    <row r="507" spans="6:9">
      <c r="F507" s="16"/>
      <c r="G507" s="16"/>
      <c r="I507" s="30"/>
    </row>
    <row r="508" spans="6:9">
      <c r="F508" s="16"/>
      <c r="G508" s="16"/>
      <c r="I508" s="30"/>
    </row>
    <row r="509" spans="6:9">
      <c r="F509" s="16"/>
      <c r="G509" s="16"/>
      <c r="I509" s="30"/>
    </row>
    <row r="510" spans="6:9">
      <c r="F510" s="16"/>
      <c r="G510" s="16"/>
      <c r="I510" s="30"/>
    </row>
    <row r="511" spans="6:9">
      <c r="F511" s="16"/>
      <c r="G511" s="16"/>
      <c r="I511" s="30"/>
    </row>
    <row r="512" spans="6:9">
      <c r="F512" s="16"/>
      <c r="G512" s="16"/>
      <c r="I512" s="30"/>
    </row>
    <row r="513" spans="6:9">
      <c r="F513" s="16"/>
      <c r="G513" s="16"/>
      <c r="I513" s="30"/>
    </row>
    <row r="514" spans="6:9">
      <c r="F514" s="16"/>
      <c r="G514" s="16"/>
      <c r="I514" s="30"/>
    </row>
    <row r="515" spans="6:9">
      <c r="F515" s="16"/>
      <c r="G515" s="16"/>
      <c r="I515" s="30"/>
    </row>
    <row r="516" spans="6:9">
      <c r="F516" s="16"/>
      <c r="G516" s="16"/>
      <c r="I516" s="30"/>
    </row>
    <row r="517" spans="6:9">
      <c r="F517" s="16"/>
      <c r="G517" s="16"/>
      <c r="I517" s="30"/>
    </row>
    <row r="518" spans="6:9">
      <c r="F518" s="16"/>
      <c r="G518" s="16"/>
      <c r="I518" s="30"/>
    </row>
    <row r="519" spans="6:9">
      <c r="F519" s="16"/>
      <c r="G519" s="16"/>
      <c r="I519" s="30"/>
    </row>
    <row r="520" spans="6:9">
      <c r="F520" s="16"/>
      <c r="G520" s="16"/>
      <c r="I520" s="30"/>
    </row>
    <row r="521" spans="6:9">
      <c r="F521" s="16"/>
      <c r="G521" s="16"/>
      <c r="I521" s="30"/>
    </row>
    <row r="522" spans="6:9">
      <c r="F522" s="16"/>
      <c r="G522" s="16"/>
      <c r="I522" s="30"/>
    </row>
    <row r="523" spans="6:9">
      <c r="F523" s="16"/>
      <c r="G523" s="16"/>
      <c r="I523" s="30"/>
    </row>
    <row r="524" spans="6:9">
      <c r="F524" s="16"/>
      <c r="G524" s="16"/>
      <c r="I524" s="30"/>
    </row>
    <row r="525" spans="6:9">
      <c r="F525" s="16"/>
      <c r="G525" s="16"/>
      <c r="I525" s="30"/>
    </row>
    <row r="526" spans="6:9">
      <c r="F526" s="16"/>
      <c r="G526" s="16"/>
      <c r="I526" s="30"/>
    </row>
    <row r="527" spans="6:9">
      <c r="F527" s="16"/>
      <c r="G527" s="16"/>
      <c r="I527" s="30"/>
    </row>
    <row r="528" spans="6:9">
      <c r="F528" s="16"/>
      <c r="G528" s="16"/>
      <c r="I528" s="30"/>
    </row>
    <row r="529" spans="6:9">
      <c r="F529" s="16"/>
      <c r="G529" s="16"/>
      <c r="I529" s="30"/>
    </row>
    <row r="530" spans="6:9">
      <c r="F530" s="16"/>
      <c r="G530" s="16"/>
      <c r="I530" s="30"/>
    </row>
    <row r="531" spans="6:9">
      <c r="H531" s="29"/>
    </row>
    <row r="532" spans="6:9">
      <c r="H532" s="29"/>
    </row>
    <row r="533" spans="6:9">
      <c r="H533" s="29"/>
    </row>
    <row r="534" spans="6:9">
      <c r="H534" s="29"/>
    </row>
    <row r="535" spans="6:9">
      <c r="H535" s="29"/>
    </row>
    <row r="536" spans="6:9">
      <c r="H536" s="29"/>
    </row>
    <row r="537" spans="6:9">
      <c r="H537" s="29"/>
    </row>
    <row r="538" spans="6:9">
      <c r="H538" s="29"/>
    </row>
    <row r="539" spans="6:9">
      <c r="H539" s="29"/>
    </row>
    <row r="540" spans="6:9">
      <c r="H540" s="29"/>
    </row>
    <row r="541" spans="6:9">
      <c r="H541" s="29"/>
    </row>
    <row r="542" spans="6:9">
      <c r="H542" s="29"/>
    </row>
    <row r="543" spans="6:9">
      <c r="H543" s="29"/>
    </row>
    <row r="544" spans="6:9">
      <c r="H544" s="29"/>
    </row>
    <row r="545" spans="8:8">
      <c r="H545" s="29"/>
    </row>
    <row r="546" spans="8:8">
      <c r="H546" s="29"/>
    </row>
    <row r="547" spans="8:8">
      <c r="H547" s="29"/>
    </row>
    <row r="548" spans="8:8">
      <c r="H548" s="29"/>
    </row>
    <row r="549" spans="8:8">
      <c r="H549" s="29"/>
    </row>
    <row r="550" spans="8:8">
      <c r="H550" s="29"/>
    </row>
    <row r="551" spans="8:8">
      <c r="H551" s="29"/>
    </row>
    <row r="552" spans="8:8">
      <c r="H552" s="29"/>
    </row>
    <row r="553" spans="8:8">
      <c r="H553" s="29"/>
    </row>
    <row r="554" spans="8:8">
      <c r="H554" s="29"/>
    </row>
    <row r="555" spans="8:8">
      <c r="H555" s="29"/>
    </row>
    <row r="556" spans="8:8">
      <c r="H556" s="29"/>
    </row>
    <row r="557" spans="8:8">
      <c r="H557" s="29"/>
    </row>
    <row r="558" spans="8:8">
      <c r="H558" s="29"/>
    </row>
    <row r="559" spans="8:8">
      <c r="H559" s="29"/>
    </row>
    <row r="560" spans="8:8">
      <c r="H560" s="29"/>
    </row>
    <row r="561" spans="8:8">
      <c r="H561" s="29"/>
    </row>
    <row r="562" spans="8:8">
      <c r="H562" s="29"/>
    </row>
    <row r="563" spans="8:8">
      <c r="H563" s="29"/>
    </row>
    <row r="564" spans="8:8">
      <c r="H564" s="29"/>
    </row>
    <row r="565" spans="8:8">
      <c r="H565" s="29"/>
    </row>
    <row r="566" spans="8:8">
      <c r="H566" s="29"/>
    </row>
    <row r="567" spans="8:8">
      <c r="H567" s="29"/>
    </row>
    <row r="568" spans="8:8">
      <c r="H568" s="29"/>
    </row>
    <row r="569" spans="8:8">
      <c r="H569" s="29"/>
    </row>
    <row r="570" spans="8:8">
      <c r="H570" s="29"/>
    </row>
    <row r="571" spans="8:8">
      <c r="H571" s="29"/>
    </row>
    <row r="572" spans="8:8">
      <c r="H572" s="29"/>
    </row>
    <row r="573" spans="8:8">
      <c r="H573" s="29"/>
    </row>
    <row r="574" spans="8:8">
      <c r="H574" s="29"/>
    </row>
    <row r="575" spans="8:8">
      <c r="H575" s="29"/>
    </row>
    <row r="576" spans="8:8">
      <c r="H576" s="29"/>
    </row>
    <row r="577" spans="8:8">
      <c r="H577" s="29"/>
    </row>
    <row r="578" spans="8:8">
      <c r="H578" s="29"/>
    </row>
    <row r="579" spans="8:8">
      <c r="H579" s="29"/>
    </row>
    <row r="580" spans="8:8">
      <c r="H580" s="29"/>
    </row>
    <row r="581" spans="8:8">
      <c r="H581" s="29"/>
    </row>
    <row r="582" spans="8:8">
      <c r="H582" s="29"/>
    </row>
    <row r="583" spans="8:8">
      <c r="H583" s="29"/>
    </row>
    <row r="584" spans="8:8">
      <c r="H584" s="29"/>
    </row>
    <row r="585" spans="8:8">
      <c r="H585" s="29"/>
    </row>
    <row r="586" spans="8:8">
      <c r="H586" s="29"/>
    </row>
    <row r="587" spans="8:8">
      <c r="H587" s="29"/>
    </row>
    <row r="588" spans="8:8">
      <c r="H588" s="29"/>
    </row>
    <row r="589" spans="8:8">
      <c r="H589" s="29"/>
    </row>
    <row r="590" spans="8:8">
      <c r="H590" s="29"/>
    </row>
    <row r="591" spans="8:8">
      <c r="H591" s="29"/>
    </row>
    <row r="592" spans="8:8">
      <c r="H592" s="29"/>
    </row>
    <row r="593" spans="8:8">
      <c r="H593" s="29"/>
    </row>
    <row r="594" spans="8:8">
      <c r="H594" s="29"/>
    </row>
    <row r="595" spans="8:8">
      <c r="H595" s="29"/>
    </row>
    <row r="596" spans="8:8">
      <c r="H596" s="29"/>
    </row>
    <row r="597" spans="8:8">
      <c r="H597" s="29"/>
    </row>
    <row r="598" spans="8:8">
      <c r="H598" s="29"/>
    </row>
    <row r="599" spans="8:8">
      <c r="H599" s="29"/>
    </row>
    <row r="600" spans="8:8">
      <c r="H600" s="29"/>
    </row>
    <row r="601" spans="8:8">
      <c r="H601" s="29"/>
    </row>
    <row r="602" spans="8:8">
      <c r="H602" s="29"/>
    </row>
    <row r="603" spans="8:8">
      <c r="H603" s="29"/>
    </row>
    <row r="604" spans="8:8">
      <c r="H604" s="29"/>
    </row>
    <row r="605" spans="8:8">
      <c r="H605" s="29"/>
    </row>
    <row r="606" spans="8:8">
      <c r="H606" s="29"/>
    </row>
    <row r="607" spans="8:8">
      <c r="H607" s="29"/>
    </row>
    <row r="608" spans="8:8">
      <c r="H608" s="29"/>
    </row>
    <row r="609" spans="8:8">
      <c r="H609" s="29"/>
    </row>
    <row r="610" spans="8:8">
      <c r="H610" s="29"/>
    </row>
    <row r="611" spans="8:8">
      <c r="H611" s="29"/>
    </row>
    <row r="612" spans="8:8">
      <c r="H612" s="29"/>
    </row>
    <row r="613" spans="8:8">
      <c r="H613" s="29"/>
    </row>
    <row r="614" spans="8:8">
      <c r="H614" s="29"/>
    </row>
    <row r="615" spans="8:8">
      <c r="H615" s="29"/>
    </row>
    <row r="616" spans="8:8">
      <c r="H616" s="29"/>
    </row>
    <row r="617" spans="8:8">
      <c r="H617" s="29"/>
    </row>
    <row r="618" spans="8:8">
      <c r="H618" s="29"/>
    </row>
    <row r="619" spans="8:8">
      <c r="H619" s="29"/>
    </row>
    <row r="620" spans="8:8">
      <c r="H620" s="29"/>
    </row>
    <row r="621" spans="8:8">
      <c r="H621" s="29"/>
    </row>
    <row r="622" spans="8:8">
      <c r="H622" s="29"/>
    </row>
    <row r="623" spans="8:8">
      <c r="H623" s="29"/>
    </row>
    <row r="624" spans="8:8">
      <c r="H624" s="29"/>
    </row>
    <row r="625" spans="8:8">
      <c r="H625" s="29"/>
    </row>
    <row r="626" spans="8:8">
      <c r="H626" s="29"/>
    </row>
    <row r="627" spans="8:8">
      <c r="H627" s="29"/>
    </row>
    <row r="628" spans="8:8">
      <c r="H628" s="29"/>
    </row>
    <row r="629" spans="8:8">
      <c r="H629" s="29"/>
    </row>
    <row r="630" spans="8:8">
      <c r="H630" s="29"/>
    </row>
    <row r="631" spans="8:8">
      <c r="H631" s="29"/>
    </row>
    <row r="632" spans="8:8">
      <c r="H632" s="29"/>
    </row>
    <row r="633" spans="8:8">
      <c r="H633" s="29"/>
    </row>
    <row r="634" spans="8:8">
      <c r="H634" s="29"/>
    </row>
    <row r="635" spans="8:8">
      <c r="H635" s="29"/>
    </row>
    <row r="636" spans="8:8">
      <c r="H636" s="29"/>
    </row>
    <row r="637" spans="8:8">
      <c r="H637" s="29"/>
    </row>
    <row r="638" spans="8:8">
      <c r="H638" s="29"/>
    </row>
    <row r="639" spans="8:8">
      <c r="H639" s="29"/>
    </row>
    <row r="640" spans="8:8">
      <c r="H640" s="29"/>
    </row>
    <row r="641" spans="8:8">
      <c r="H641" s="29"/>
    </row>
    <row r="642" spans="8:8">
      <c r="H642" s="29"/>
    </row>
    <row r="643" spans="8:8">
      <c r="H643" s="29"/>
    </row>
    <row r="644" spans="8:8">
      <c r="H644" s="29"/>
    </row>
    <row r="645" spans="8:8">
      <c r="H645" s="29"/>
    </row>
    <row r="646" spans="8:8">
      <c r="H646" s="29"/>
    </row>
    <row r="647" spans="8:8">
      <c r="H647" s="29"/>
    </row>
    <row r="648" spans="8:8">
      <c r="H648" s="29"/>
    </row>
    <row r="649" spans="8:8">
      <c r="H649" s="29"/>
    </row>
    <row r="650" spans="8:8">
      <c r="H650" s="29"/>
    </row>
    <row r="651" spans="8:8">
      <c r="H651" s="29"/>
    </row>
    <row r="652" spans="8:8">
      <c r="H652" s="29"/>
    </row>
    <row r="653" spans="8:8">
      <c r="H653" s="29"/>
    </row>
    <row r="654" spans="8:8">
      <c r="H654" s="29"/>
    </row>
    <row r="655" spans="8:8">
      <c r="H655" s="29"/>
    </row>
    <row r="656" spans="8:8">
      <c r="H656" s="29"/>
    </row>
    <row r="657" spans="8:8">
      <c r="H657" s="29"/>
    </row>
    <row r="658" spans="8:8">
      <c r="H658" s="29"/>
    </row>
    <row r="659" spans="8:8">
      <c r="H659" s="29"/>
    </row>
    <row r="660" spans="8:8">
      <c r="H660" s="29"/>
    </row>
    <row r="661" spans="8:8">
      <c r="H661" s="29"/>
    </row>
    <row r="662" spans="8:8">
      <c r="H662" s="29"/>
    </row>
    <row r="663" spans="8:8">
      <c r="H663" s="29"/>
    </row>
    <row r="664" spans="8:8">
      <c r="H664" s="29"/>
    </row>
    <row r="665" spans="8:8">
      <c r="H665" s="29"/>
    </row>
    <row r="666" spans="8:8">
      <c r="H666" s="29"/>
    </row>
    <row r="667" spans="8:8">
      <c r="H667" s="29"/>
    </row>
    <row r="668" spans="8:8">
      <c r="H668" s="29"/>
    </row>
    <row r="669" spans="8:8">
      <c r="H669" s="29"/>
    </row>
    <row r="670" spans="8:8">
      <c r="H670" s="29"/>
    </row>
    <row r="671" spans="8:8">
      <c r="H671" s="29"/>
    </row>
    <row r="672" spans="8:8">
      <c r="H672" s="29"/>
    </row>
    <row r="673" spans="8:8">
      <c r="H673" s="29"/>
    </row>
    <row r="674" spans="8:8">
      <c r="H674" s="29"/>
    </row>
    <row r="675" spans="8:8">
      <c r="H675" s="29"/>
    </row>
    <row r="676" spans="8:8">
      <c r="H676" s="29"/>
    </row>
    <row r="677" spans="8:8">
      <c r="H677" s="29"/>
    </row>
    <row r="678" spans="8:8">
      <c r="H678" s="29"/>
    </row>
    <row r="679" spans="8:8">
      <c r="H679" s="29"/>
    </row>
    <row r="680" spans="8:8">
      <c r="H680" s="29"/>
    </row>
    <row r="681" spans="8:8">
      <c r="H681" s="29"/>
    </row>
    <row r="682" spans="8:8">
      <c r="H682" s="29"/>
    </row>
    <row r="683" spans="8:8">
      <c r="H683" s="29"/>
    </row>
    <row r="684" spans="8:8">
      <c r="H684" s="29"/>
    </row>
    <row r="685" spans="8:8">
      <c r="H685" s="29"/>
    </row>
    <row r="686" spans="8:8">
      <c r="H686" s="29"/>
    </row>
    <row r="687" spans="8:8">
      <c r="H687" s="29"/>
    </row>
    <row r="688" spans="8:8">
      <c r="H688" s="29"/>
    </row>
    <row r="689" spans="8:8">
      <c r="H689" s="29"/>
    </row>
    <row r="690" spans="8:8">
      <c r="H690" s="29"/>
    </row>
    <row r="691" spans="8:8">
      <c r="H691" s="29"/>
    </row>
    <row r="692" spans="8:8">
      <c r="H692" s="29"/>
    </row>
    <row r="693" spans="8:8">
      <c r="H693" s="29"/>
    </row>
    <row r="694" spans="8:8">
      <c r="H694" s="29"/>
    </row>
    <row r="695" spans="8:8">
      <c r="H695" s="29"/>
    </row>
    <row r="696" spans="8:8">
      <c r="H696" s="29"/>
    </row>
    <row r="697" spans="8:8">
      <c r="H697" s="29"/>
    </row>
    <row r="698" spans="8:8">
      <c r="H698" s="29"/>
    </row>
    <row r="699" spans="8:8">
      <c r="H699" s="29"/>
    </row>
    <row r="700" spans="8:8">
      <c r="H700" s="29"/>
    </row>
    <row r="701" spans="8:8">
      <c r="H701" s="29"/>
    </row>
    <row r="702" spans="8:8">
      <c r="H702" s="29"/>
    </row>
    <row r="703" spans="8:8">
      <c r="H703" s="29"/>
    </row>
    <row r="704" spans="8:8">
      <c r="H704" s="29"/>
    </row>
    <row r="705" spans="8:8">
      <c r="H705" s="29"/>
    </row>
    <row r="706" spans="8:8">
      <c r="H706" s="29"/>
    </row>
    <row r="707" spans="8:8">
      <c r="H707" s="29"/>
    </row>
    <row r="708" spans="8:8">
      <c r="H708" s="29"/>
    </row>
    <row r="709" spans="8:8">
      <c r="H709" s="29"/>
    </row>
    <row r="710" spans="8:8">
      <c r="H710" s="29"/>
    </row>
    <row r="711" spans="8:8">
      <c r="H711" s="29"/>
    </row>
    <row r="712" spans="8:8">
      <c r="H712" s="29"/>
    </row>
    <row r="713" spans="8:8">
      <c r="H713" s="29"/>
    </row>
    <row r="714" spans="8:8">
      <c r="H714" s="29"/>
    </row>
    <row r="715" spans="8:8">
      <c r="H715" s="29"/>
    </row>
    <row r="716" spans="8:8">
      <c r="H716" s="29"/>
    </row>
    <row r="717" spans="8:8">
      <c r="H717" s="29"/>
    </row>
    <row r="718" spans="8:8">
      <c r="H718" s="29"/>
    </row>
    <row r="719" spans="8:8">
      <c r="H719" s="29"/>
    </row>
    <row r="720" spans="8:8">
      <c r="H720" s="29"/>
    </row>
    <row r="721" spans="8:8">
      <c r="H721" s="29"/>
    </row>
    <row r="722" spans="8:8">
      <c r="H722" s="29"/>
    </row>
    <row r="723" spans="8:8">
      <c r="H723" s="29"/>
    </row>
    <row r="724" spans="8:8">
      <c r="H724" s="29"/>
    </row>
    <row r="725" spans="8:8">
      <c r="H725" s="29"/>
    </row>
    <row r="726" spans="8:8">
      <c r="H726" s="29"/>
    </row>
    <row r="727" spans="8:8">
      <c r="H727" s="29"/>
    </row>
    <row r="728" spans="8:8">
      <c r="H728" s="29"/>
    </row>
    <row r="729" spans="8:8">
      <c r="H729" s="29"/>
    </row>
    <row r="730" spans="8:8">
      <c r="H730" s="29"/>
    </row>
    <row r="731" spans="8:8">
      <c r="H731" s="29"/>
    </row>
    <row r="732" spans="8:8">
      <c r="H732" s="29"/>
    </row>
    <row r="733" spans="8:8">
      <c r="H733" s="29"/>
    </row>
    <row r="734" spans="8:8">
      <c r="H734" s="29"/>
    </row>
    <row r="735" spans="8:8">
      <c r="H735" s="29"/>
    </row>
    <row r="736" spans="8:8">
      <c r="H736" s="29"/>
    </row>
    <row r="737" spans="8:8">
      <c r="H737" s="29"/>
    </row>
    <row r="738" spans="8:8">
      <c r="H738" s="29"/>
    </row>
    <row r="739" spans="8:8">
      <c r="H739" s="29"/>
    </row>
    <row r="740" spans="8:8">
      <c r="H740" s="29"/>
    </row>
    <row r="741" spans="8:8">
      <c r="H741" s="29"/>
    </row>
    <row r="742" spans="8:8">
      <c r="H742" s="29"/>
    </row>
    <row r="743" spans="8:8">
      <c r="H743" s="29"/>
    </row>
    <row r="744" spans="8:8">
      <c r="H744" s="29"/>
    </row>
    <row r="745" spans="8:8">
      <c r="H745" s="29"/>
    </row>
    <row r="746" spans="8:8">
      <c r="H746" s="29"/>
    </row>
    <row r="747" spans="8:8">
      <c r="H747" s="29"/>
    </row>
    <row r="748" spans="8:8">
      <c r="H748" s="29"/>
    </row>
    <row r="749" spans="8:8">
      <c r="H749" s="29"/>
    </row>
    <row r="750" spans="8:8">
      <c r="H750" s="29"/>
    </row>
    <row r="751" spans="8:8">
      <c r="H751" s="29"/>
    </row>
    <row r="752" spans="8:8">
      <c r="H752" s="29"/>
    </row>
    <row r="753" spans="8:8">
      <c r="H753" s="29"/>
    </row>
    <row r="754" spans="8:8">
      <c r="H754" s="29"/>
    </row>
    <row r="755" spans="8:8">
      <c r="H755" s="29"/>
    </row>
    <row r="756" spans="8:8">
      <c r="H756" s="29"/>
    </row>
    <row r="757" spans="8:8">
      <c r="H757" s="29"/>
    </row>
    <row r="758" spans="8:8">
      <c r="H758" s="29"/>
    </row>
    <row r="759" spans="8:8">
      <c r="H759" s="29"/>
    </row>
    <row r="760" spans="8:8">
      <c r="H760" s="29"/>
    </row>
    <row r="761" spans="8:8">
      <c r="H761" s="29"/>
    </row>
    <row r="762" spans="8:8">
      <c r="H762" s="29"/>
    </row>
    <row r="763" spans="8:8">
      <c r="H763" s="29"/>
    </row>
    <row r="764" spans="8:8">
      <c r="H764" s="29"/>
    </row>
    <row r="765" spans="8:8">
      <c r="H765" s="29"/>
    </row>
    <row r="766" spans="8:8">
      <c r="H766" s="29"/>
    </row>
    <row r="767" spans="8:8">
      <c r="H767" s="29"/>
    </row>
    <row r="768" spans="8:8">
      <c r="H768" s="29"/>
    </row>
    <row r="769" spans="8:8">
      <c r="H769" s="29"/>
    </row>
    <row r="770" spans="8:8">
      <c r="H770" s="29"/>
    </row>
    <row r="771" spans="8:8">
      <c r="H771" s="29"/>
    </row>
    <row r="772" spans="8:8">
      <c r="H772" s="29"/>
    </row>
    <row r="773" spans="8:8">
      <c r="H773" s="29"/>
    </row>
    <row r="774" spans="8:8">
      <c r="H774" s="29"/>
    </row>
    <row r="775" spans="8:8">
      <c r="H775" s="29"/>
    </row>
    <row r="776" spans="8:8">
      <c r="H776" s="29"/>
    </row>
    <row r="777" spans="8:8">
      <c r="H777" s="29"/>
    </row>
    <row r="778" spans="8:8">
      <c r="H778" s="29"/>
    </row>
    <row r="779" spans="8:8">
      <c r="H779" s="29"/>
    </row>
    <row r="780" spans="8:8">
      <c r="H780" s="29"/>
    </row>
    <row r="781" spans="8:8">
      <c r="H781" s="29"/>
    </row>
    <row r="782" spans="8:8">
      <c r="H782" s="29"/>
    </row>
    <row r="783" spans="8:8">
      <c r="H783" s="29"/>
    </row>
    <row r="784" spans="8:8">
      <c r="H784" s="29"/>
    </row>
    <row r="785" spans="8:8">
      <c r="H785" s="29"/>
    </row>
    <row r="786" spans="8:8">
      <c r="H786" s="29"/>
    </row>
    <row r="787" spans="8:8">
      <c r="H787" s="29"/>
    </row>
    <row r="788" spans="8:8">
      <c r="H788" s="29"/>
    </row>
    <row r="789" spans="8:8">
      <c r="H789" s="29"/>
    </row>
    <row r="790" spans="8:8">
      <c r="H790" s="29"/>
    </row>
    <row r="791" spans="8:8">
      <c r="H791" s="29"/>
    </row>
    <row r="792" spans="8:8">
      <c r="H792" s="29"/>
    </row>
    <row r="793" spans="8:8">
      <c r="H793" s="29"/>
    </row>
    <row r="794" spans="8:8">
      <c r="H794" s="29"/>
    </row>
    <row r="795" spans="8:8">
      <c r="H795" s="29"/>
    </row>
    <row r="796" spans="8:8">
      <c r="H796" s="29"/>
    </row>
    <row r="797" spans="8:8">
      <c r="H797" s="29"/>
    </row>
    <row r="798" spans="8:8">
      <c r="H798" s="29"/>
    </row>
    <row r="799" spans="8:8">
      <c r="H799" s="29"/>
    </row>
    <row r="800" spans="8:8">
      <c r="H800" s="29"/>
    </row>
    <row r="801" spans="8:8">
      <c r="H801" s="29"/>
    </row>
    <row r="802" spans="8:8">
      <c r="H802" s="29"/>
    </row>
    <row r="803" spans="8:8">
      <c r="H803" s="29"/>
    </row>
    <row r="804" spans="8:8">
      <c r="H804" s="29"/>
    </row>
    <row r="805" spans="8:8">
      <c r="H805" s="29"/>
    </row>
    <row r="806" spans="8:8">
      <c r="H806" s="29"/>
    </row>
    <row r="807" spans="8:8">
      <c r="H807" s="29"/>
    </row>
    <row r="808" spans="8:8">
      <c r="H808" s="29"/>
    </row>
    <row r="809" spans="8:8">
      <c r="H809" s="29"/>
    </row>
    <row r="810" spans="8:8">
      <c r="H810" s="29"/>
    </row>
    <row r="811" spans="8:8">
      <c r="H811" s="29"/>
    </row>
    <row r="812" spans="8:8">
      <c r="H812" s="29"/>
    </row>
    <row r="813" spans="8:8">
      <c r="H813" s="29"/>
    </row>
    <row r="814" spans="8:8">
      <c r="H814" s="29"/>
    </row>
    <row r="815" spans="8:8">
      <c r="H815" s="29"/>
    </row>
    <row r="816" spans="8:8">
      <c r="H816" s="29"/>
    </row>
    <row r="817" spans="8:8">
      <c r="H817" s="29"/>
    </row>
    <row r="818" spans="8:8">
      <c r="H818" s="29"/>
    </row>
    <row r="819" spans="8:8">
      <c r="H819" s="29"/>
    </row>
    <row r="820" spans="8:8">
      <c r="H820" s="29"/>
    </row>
    <row r="821" spans="8:8">
      <c r="H821" s="29"/>
    </row>
    <row r="822" spans="8:8">
      <c r="H822" s="29"/>
    </row>
    <row r="823" spans="8:8">
      <c r="H823" s="29"/>
    </row>
    <row r="824" spans="8:8">
      <c r="H824" s="29"/>
    </row>
    <row r="825" spans="8:8">
      <c r="H825" s="29"/>
    </row>
    <row r="826" spans="8:8">
      <c r="H826" s="29"/>
    </row>
    <row r="827" spans="8:8">
      <c r="H827" s="29"/>
    </row>
    <row r="828" spans="8:8">
      <c r="H828" s="29"/>
    </row>
    <row r="829" spans="8:8">
      <c r="H829" s="29"/>
    </row>
    <row r="830" spans="8:8">
      <c r="H830" s="29"/>
    </row>
    <row r="831" spans="8:8">
      <c r="H831" s="29"/>
    </row>
    <row r="832" spans="8:8">
      <c r="H832" s="29"/>
    </row>
    <row r="833" spans="8:8">
      <c r="H833" s="29"/>
    </row>
    <row r="834" spans="8:8">
      <c r="H834" s="29"/>
    </row>
    <row r="835" spans="8:8">
      <c r="H835" s="29"/>
    </row>
    <row r="836" spans="8:8">
      <c r="H836" s="29"/>
    </row>
    <row r="837" spans="8:8">
      <c r="H837" s="29"/>
    </row>
    <row r="838" spans="8:8">
      <c r="H838" s="29"/>
    </row>
    <row r="839" spans="8:8">
      <c r="H839" s="29"/>
    </row>
    <row r="840" spans="8:8">
      <c r="H840" s="29"/>
    </row>
    <row r="841" spans="8:8">
      <c r="H841" s="29"/>
    </row>
    <row r="842" spans="8:8">
      <c r="H842" s="29"/>
    </row>
    <row r="843" spans="8:8">
      <c r="H843" s="29"/>
    </row>
    <row r="844" spans="8:8">
      <c r="H844" s="29"/>
    </row>
    <row r="845" spans="8:8">
      <c r="H845" s="29"/>
    </row>
    <row r="846" spans="8:8">
      <c r="H846" s="29"/>
    </row>
    <row r="847" spans="8:8">
      <c r="H847" s="29"/>
    </row>
    <row r="848" spans="8:8">
      <c r="H848" s="29"/>
    </row>
    <row r="849" spans="8:8">
      <c r="H849" s="29"/>
    </row>
    <row r="850" spans="8:8">
      <c r="H850" s="29"/>
    </row>
    <row r="851" spans="8:8">
      <c r="H851" s="29"/>
    </row>
    <row r="852" spans="8:8">
      <c r="H852" s="29"/>
    </row>
    <row r="853" spans="8:8">
      <c r="H853" s="29"/>
    </row>
    <row r="854" spans="8:8">
      <c r="H854" s="29"/>
    </row>
    <row r="855" spans="8:8">
      <c r="H855" s="29"/>
    </row>
    <row r="856" spans="8:8">
      <c r="H856" s="29"/>
    </row>
    <row r="857" spans="8:8">
      <c r="H857" s="29"/>
    </row>
    <row r="858" spans="8:8">
      <c r="H858" s="29"/>
    </row>
    <row r="859" spans="8:8">
      <c r="H859" s="29"/>
    </row>
    <row r="860" spans="8:8">
      <c r="H860" s="29"/>
    </row>
    <row r="861" spans="8:8">
      <c r="H861" s="29"/>
    </row>
    <row r="862" spans="8:8">
      <c r="H862" s="29"/>
    </row>
    <row r="863" spans="8:8">
      <c r="H863" s="29"/>
    </row>
    <row r="864" spans="8:8">
      <c r="H864" s="29"/>
    </row>
    <row r="865" spans="8:8">
      <c r="H865" s="29"/>
    </row>
    <row r="866" spans="8:8">
      <c r="H866" s="29"/>
    </row>
    <row r="867" spans="8:8">
      <c r="H867" s="29"/>
    </row>
    <row r="868" spans="8:8">
      <c r="H868" s="29"/>
    </row>
    <row r="869" spans="8:8">
      <c r="H869" s="29"/>
    </row>
    <row r="870" spans="8:8">
      <c r="H870" s="29"/>
    </row>
    <row r="871" spans="8:8">
      <c r="H871" s="29"/>
    </row>
    <row r="872" spans="8:8">
      <c r="H872" s="29"/>
    </row>
    <row r="873" spans="8:8">
      <c r="H873" s="29"/>
    </row>
    <row r="874" spans="8:8">
      <c r="H874" s="29"/>
    </row>
    <row r="875" spans="8:8">
      <c r="H875" s="29"/>
    </row>
    <row r="876" spans="8:8">
      <c r="H876" s="29"/>
    </row>
    <row r="877" spans="8:8">
      <c r="H877" s="29"/>
    </row>
    <row r="878" spans="8:8">
      <c r="H878" s="29"/>
    </row>
    <row r="879" spans="8:8">
      <c r="H879" s="29"/>
    </row>
    <row r="880" spans="8:8">
      <c r="H880" s="29"/>
    </row>
    <row r="881" spans="8:8">
      <c r="H881" s="29"/>
    </row>
    <row r="882" spans="8:8">
      <c r="H882" s="29"/>
    </row>
    <row r="883" spans="8:8">
      <c r="H883" s="29"/>
    </row>
    <row r="884" spans="8:8">
      <c r="H884" s="29"/>
    </row>
    <row r="885" spans="8:8">
      <c r="H885" s="29"/>
    </row>
    <row r="886" spans="8:8">
      <c r="H886" s="29"/>
    </row>
    <row r="887" spans="8:8">
      <c r="H887" s="29"/>
    </row>
    <row r="888" spans="8:8">
      <c r="H888" s="29"/>
    </row>
    <row r="889" spans="8:8">
      <c r="H889" s="29"/>
    </row>
    <row r="890" spans="8:8">
      <c r="H890" s="29"/>
    </row>
    <row r="891" spans="8:8">
      <c r="H891" s="29"/>
    </row>
    <row r="892" spans="8:8">
      <c r="H892" s="29"/>
    </row>
    <row r="893" spans="8:8">
      <c r="H893" s="29"/>
    </row>
    <row r="894" spans="8:8">
      <c r="H894" s="29"/>
    </row>
    <row r="895" spans="8:8">
      <c r="H895" s="29"/>
    </row>
    <row r="896" spans="8:8">
      <c r="H896" s="29"/>
    </row>
    <row r="897" spans="8:8">
      <c r="H897" s="29"/>
    </row>
    <row r="898" spans="8:8">
      <c r="H898" s="29"/>
    </row>
    <row r="899" spans="8:8">
      <c r="H899" s="29"/>
    </row>
    <row r="900" spans="8:8">
      <c r="H900" s="29"/>
    </row>
    <row r="901" spans="8:8">
      <c r="H901" s="29"/>
    </row>
    <row r="902" spans="8:8">
      <c r="H902" s="29"/>
    </row>
    <row r="903" spans="8:8">
      <c r="H903" s="29"/>
    </row>
    <row r="904" spans="8:8">
      <c r="H904" s="29"/>
    </row>
    <row r="905" spans="8:8">
      <c r="H905" s="29"/>
    </row>
    <row r="906" spans="8:8">
      <c r="H906" s="29"/>
    </row>
    <row r="907" spans="8:8">
      <c r="H907" s="29"/>
    </row>
    <row r="908" spans="8:8">
      <c r="H908" s="29"/>
    </row>
    <row r="909" spans="8:8">
      <c r="H909" s="29"/>
    </row>
    <row r="910" spans="8:8">
      <c r="H910" s="29"/>
    </row>
    <row r="911" spans="8:8">
      <c r="H911" s="29"/>
    </row>
    <row r="912" spans="8:8">
      <c r="H912" s="29"/>
    </row>
    <row r="913" spans="8:8">
      <c r="H913" s="29"/>
    </row>
    <row r="914" spans="8:8">
      <c r="H914" s="29"/>
    </row>
    <row r="915" spans="8:8">
      <c r="H915" s="29"/>
    </row>
    <row r="916" spans="8:8">
      <c r="H916" s="29"/>
    </row>
    <row r="917" spans="8:8">
      <c r="H917" s="29"/>
    </row>
    <row r="918" spans="8:8">
      <c r="H918" s="29"/>
    </row>
    <row r="919" spans="8:8">
      <c r="H919" s="29"/>
    </row>
    <row r="920" spans="8:8">
      <c r="H920" s="29"/>
    </row>
    <row r="921" spans="8:8">
      <c r="H921" s="29"/>
    </row>
    <row r="922" spans="8:8">
      <c r="H922" s="29"/>
    </row>
    <row r="923" spans="8:8">
      <c r="H923" s="29"/>
    </row>
    <row r="924" spans="8:8">
      <c r="H924" s="29"/>
    </row>
    <row r="925" spans="8:8">
      <c r="H925" s="29"/>
    </row>
    <row r="926" spans="8:8">
      <c r="H926" s="29"/>
    </row>
    <row r="927" spans="8:8">
      <c r="H927" s="29"/>
    </row>
    <row r="928" spans="8:8">
      <c r="H928" s="29"/>
    </row>
    <row r="929" spans="8:8">
      <c r="H929" s="29"/>
    </row>
    <row r="930" spans="8:8">
      <c r="H930" s="29"/>
    </row>
    <row r="931" spans="8:8">
      <c r="H931" s="29"/>
    </row>
    <row r="932" spans="8:8">
      <c r="H932" s="29"/>
    </row>
    <row r="933" spans="8:8">
      <c r="H933" s="29"/>
    </row>
    <row r="934" spans="8:8">
      <c r="H934" s="29"/>
    </row>
    <row r="935" spans="8:8">
      <c r="H935" s="29"/>
    </row>
    <row r="936" spans="8:8">
      <c r="H936" s="29"/>
    </row>
    <row r="937" spans="8:8">
      <c r="H937" s="29"/>
    </row>
    <row r="938" spans="8:8">
      <c r="H938" s="29"/>
    </row>
    <row r="939" spans="8:8">
      <c r="H939" s="29"/>
    </row>
    <row r="940" spans="8:8">
      <c r="H940" s="29"/>
    </row>
    <row r="941" spans="8:8">
      <c r="H941" s="29"/>
    </row>
    <row r="942" spans="8:8">
      <c r="H942" s="29"/>
    </row>
    <row r="943" spans="8:8">
      <c r="H943" s="29"/>
    </row>
    <row r="944" spans="8:8">
      <c r="H944" s="29"/>
    </row>
    <row r="945" spans="8:8">
      <c r="H945" s="29"/>
    </row>
    <row r="946" spans="8:8">
      <c r="H946" s="29"/>
    </row>
    <row r="947" spans="8:8">
      <c r="H947" s="29"/>
    </row>
    <row r="948" spans="8:8">
      <c r="H948" s="29"/>
    </row>
    <row r="949" spans="8:8">
      <c r="H949" s="29"/>
    </row>
    <row r="950" spans="8:8">
      <c r="H950" s="29"/>
    </row>
    <row r="951" spans="8:8">
      <c r="H951" s="29"/>
    </row>
    <row r="952" spans="8:8">
      <c r="H952" s="29"/>
    </row>
    <row r="953" spans="8:8">
      <c r="H953" s="29"/>
    </row>
    <row r="954" spans="8:8">
      <c r="H954" s="29"/>
    </row>
    <row r="955" spans="8:8">
      <c r="H955" s="29"/>
    </row>
    <row r="956" spans="8:8">
      <c r="H956" s="29"/>
    </row>
    <row r="957" spans="8:8">
      <c r="H957" s="29"/>
    </row>
    <row r="958" spans="8:8">
      <c r="H958" s="29"/>
    </row>
    <row r="959" spans="8:8">
      <c r="H959" s="29"/>
    </row>
    <row r="960" spans="8:8">
      <c r="H960" s="29"/>
    </row>
    <row r="961" spans="8:8">
      <c r="H961" s="29"/>
    </row>
    <row r="962" spans="8:8">
      <c r="H962" s="29"/>
    </row>
    <row r="963" spans="8:8">
      <c r="H963" s="29"/>
    </row>
    <row r="964" spans="8:8">
      <c r="H964" s="29"/>
    </row>
    <row r="965" spans="8:8">
      <c r="H965" s="29"/>
    </row>
    <row r="966" spans="8:8">
      <c r="H966" s="29"/>
    </row>
    <row r="967" spans="8:8">
      <c r="H967" s="29"/>
    </row>
    <row r="968" spans="8:8">
      <c r="H968" s="29"/>
    </row>
    <row r="969" spans="8:8">
      <c r="H969" s="29"/>
    </row>
    <row r="970" spans="8:8">
      <c r="H970" s="29"/>
    </row>
    <row r="971" spans="8:8">
      <c r="H971" s="29"/>
    </row>
    <row r="972" spans="8:8">
      <c r="H972" s="29"/>
    </row>
    <row r="973" spans="8:8">
      <c r="H973" s="29"/>
    </row>
    <row r="974" spans="8:8">
      <c r="H974" s="29"/>
    </row>
    <row r="975" spans="8:8">
      <c r="H975" s="29"/>
    </row>
    <row r="976" spans="8:8">
      <c r="H976" s="29"/>
    </row>
    <row r="977" spans="8:8">
      <c r="H977" s="29"/>
    </row>
    <row r="978" spans="8:8">
      <c r="H978" s="29"/>
    </row>
    <row r="979" spans="8:8">
      <c r="H979" s="29"/>
    </row>
    <row r="980" spans="8:8">
      <c r="H980" s="29"/>
    </row>
    <row r="981" spans="8:8">
      <c r="H981" s="29"/>
    </row>
    <row r="982" spans="8:8">
      <c r="H982" s="29"/>
    </row>
    <row r="983" spans="8:8">
      <c r="H983" s="29"/>
    </row>
    <row r="984" spans="8:8">
      <c r="H984" s="29"/>
    </row>
    <row r="985" spans="8:8">
      <c r="H985" s="29"/>
    </row>
    <row r="986" spans="8:8">
      <c r="H986" s="29"/>
    </row>
    <row r="987" spans="8:8">
      <c r="H987" s="29"/>
    </row>
    <row r="988" spans="8:8">
      <c r="H988" s="29"/>
    </row>
    <row r="989" spans="8:8">
      <c r="H989" s="29"/>
    </row>
    <row r="990" spans="8:8">
      <c r="H990" s="29"/>
    </row>
    <row r="991" spans="8:8">
      <c r="H991" s="29"/>
    </row>
    <row r="992" spans="8:8">
      <c r="H992" s="29"/>
    </row>
    <row r="993" spans="8:8">
      <c r="H993" s="29"/>
    </row>
    <row r="994" spans="8:8">
      <c r="H994" s="29"/>
    </row>
    <row r="995" spans="8:8">
      <c r="H995" s="29"/>
    </row>
    <row r="996" spans="8:8">
      <c r="H996" s="29"/>
    </row>
    <row r="997" spans="8:8">
      <c r="H997" s="29"/>
    </row>
    <row r="998" spans="8:8">
      <c r="H998" s="29"/>
    </row>
    <row r="999" spans="8:8">
      <c r="H999" s="29"/>
    </row>
  </sheetData>
  <mergeCells count="1">
    <mergeCell ref="B25:C25"/>
  </mergeCells>
  <phoneticPr fontId="1" type="noConversion"/>
  <dataValidations count="2">
    <dataValidation type="textLength" errorStyle="information" allowBlank="1" showInputMessage="1" showErrorMessage="1" error="XLBVal:8=富邦綜合證券股份有限公司總公司_x000d__x000a_" sqref="C1:C2" xr:uid="{00000000-0002-0000-0000-000000000000}">
      <formula1>0</formula1>
      <formula2>300</formula2>
    </dataValidation>
    <dataValidation type="textLength" errorStyle="information" allowBlank="1" showInputMessage="1" showErrorMessage="1" error="XLBVal:8=科目代碼_x000d__x000a_XLBRowCount:8=13_x000d__x000a_XLBColCount:8=3_x000d__x000a_" sqref="F1" xr:uid="{5FD14E11-CA66-4306-BA3A-30E2CBEACE84}">
      <formula1>0</formula1>
      <formula2>300</formula2>
    </dataValidation>
  </dataValidations>
  <pageMargins left="0.7" right="0.7" top="0.75" bottom="0.75" header="0.3" footer="0.3"/>
  <pageSetup paperSize="9" orientation="portrait" r:id="rId1"/>
  <customProperties>
    <customPr name="QAA_DRILLPATH_NODE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執行報表">
                <anchor moveWithCells="1" sizeWithCells="1">
                  <from>
                    <xdr:col>2</xdr:col>
                    <xdr:colOff>123825</xdr:colOff>
                    <xdr:row>8</xdr:row>
                    <xdr:rowOff>76200</xdr:rowOff>
                  </from>
                  <to>
                    <xdr:col>2</xdr:col>
                    <xdr:colOff>1276350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>
    <pageSetUpPr fitToPage="1"/>
  </sheetPr>
  <dimension ref="A1:AR462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22.125" style="5" hidden="1" customWidth="1" outlineLevel="1"/>
    <col min="2" max="2" width="10" style="5" bestFit="1" customWidth="1" collapsed="1"/>
    <col min="3" max="3" width="19.375" style="5" bestFit="1" customWidth="1"/>
    <col min="4" max="5" width="13.375" style="6" bestFit="1" customWidth="1"/>
    <col min="6" max="6" width="3.75" style="5" bestFit="1" customWidth="1"/>
    <col min="7" max="7" width="15.75" style="7" bestFit="1" customWidth="1"/>
    <col min="8" max="8" width="6.75" style="5" bestFit="1" customWidth="1"/>
    <col min="9" max="9" width="53.625" style="8" bestFit="1" customWidth="1"/>
    <col min="10" max="10" width="5.75" style="8" bestFit="1" customWidth="1"/>
    <col min="11" max="11" width="13.375" style="9" bestFit="1" customWidth="1"/>
    <col min="12" max="12" width="12.75" style="5" bestFit="1" customWidth="1"/>
    <col min="13" max="13" width="11.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128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>
        <v>114118</v>
      </c>
      <c r="D4" s="2" t="s">
        <v>1467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2400956.000",TargetCell,M_BU,$C4,$C4,M_PRD_FROM,M_PRD_TO,M_DATE,M_T1,M_T1,M_T2,M_T2,M_T3,M_T3,M_T4,M_T4,M_T5,M_T5,M_T6,M_T6,M_T8,M_T8)</f>
        <v>2400956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1468</v>
      </c>
      <c r="B7" s="62">
        <v>45863</v>
      </c>
      <c r="C7" s="63" t="s">
        <v>1469</v>
      </c>
      <c r="D7" s="67">
        <v>600239</v>
      </c>
      <c r="E7" s="67"/>
      <c r="F7" s="61" t="str">
        <f t="shared" ref="F7:F13" si="0">IF(G7&gt;0,"借","貸")</f>
        <v>借</v>
      </c>
      <c r="G7" s="64">
        <f>SUM(D$6:E7)</f>
        <v>600239</v>
      </c>
      <c r="H7" s="61"/>
      <c r="I7" s="61" t="s">
        <v>1054</v>
      </c>
      <c r="J7" s="61" t="s">
        <v>114</v>
      </c>
      <c r="K7" s="64">
        <v>600239</v>
      </c>
      <c r="L7" s="61"/>
      <c r="M7" s="65" t="s">
        <v>1052</v>
      </c>
      <c r="N7" s="61"/>
      <c r="O7" s="61"/>
      <c r="P7" s="61"/>
      <c r="Q7" s="61"/>
      <c r="R7" s="61">
        <v>494853</v>
      </c>
      <c r="S7" s="66" t="s">
        <v>63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1468</v>
      </c>
      <c r="B8" s="62">
        <v>45863</v>
      </c>
      <c r="C8" s="63" t="s">
        <v>1470</v>
      </c>
      <c r="D8" s="67">
        <v>600239</v>
      </c>
      <c r="E8" s="67"/>
      <c r="F8" s="61" t="str">
        <f t="shared" si="0"/>
        <v>借</v>
      </c>
      <c r="G8" s="64">
        <f>SUM(D$6:E8)</f>
        <v>1200478</v>
      </c>
      <c r="H8" s="61"/>
      <c r="I8" s="61" t="s">
        <v>1056</v>
      </c>
      <c r="J8" s="61" t="s">
        <v>114</v>
      </c>
      <c r="K8" s="64">
        <v>600239</v>
      </c>
      <c r="L8" s="61"/>
      <c r="M8" s="65" t="s">
        <v>1052</v>
      </c>
      <c r="N8" s="61"/>
      <c r="O8" s="61"/>
      <c r="P8" s="61"/>
      <c r="Q8" s="61"/>
      <c r="R8" s="61">
        <v>494853</v>
      </c>
      <c r="S8" s="66" t="s">
        <v>63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1468</v>
      </c>
      <c r="B9" s="62">
        <v>45863</v>
      </c>
      <c r="C9" s="63" t="s">
        <v>1471</v>
      </c>
      <c r="D9" s="67">
        <v>600239</v>
      </c>
      <c r="E9" s="67"/>
      <c r="F9" s="61" t="str">
        <f t="shared" si="0"/>
        <v>借</v>
      </c>
      <c r="G9" s="64">
        <f>SUM(D$6:E9)</f>
        <v>1800717</v>
      </c>
      <c r="H9" s="61"/>
      <c r="I9" s="61" t="s">
        <v>1058</v>
      </c>
      <c r="J9" s="61" t="s">
        <v>114</v>
      </c>
      <c r="K9" s="64">
        <v>600239</v>
      </c>
      <c r="L9" s="61"/>
      <c r="M9" s="65" t="s">
        <v>1052</v>
      </c>
      <c r="N9" s="61"/>
      <c r="O9" s="61"/>
      <c r="P9" s="61"/>
      <c r="Q9" s="61"/>
      <c r="R9" s="61">
        <v>494853</v>
      </c>
      <c r="S9" s="66" t="s">
        <v>63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1468</v>
      </c>
      <c r="B10" s="62">
        <v>45863</v>
      </c>
      <c r="C10" s="63" t="s">
        <v>1472</v>
      </c>
      <c r="D10" s="67">
        <v>600239</v>
      </c>
      <c r="E10" s="67"/>
      <c r="F10" s="61" t="str">
        <f t="shared" si="0"/>
        <v>借</v>
      </c>
      <c r="G10" s="64">
        <f>SUM(D$6:E10)</f>
        <v>2400956</v>
      </c>
      <c r="H10" s="61"/>
      <c r="I10" s="61" t="s">
        <v>1060</v>
      </c>
      <c r="J10" s="61" t="s">
        <v>114</v>
      </c>
      <c r="K10" s="64">
        <v>600239</v>
      </c>
      <c r="L10" s="61"/>
      <c r="M10" s="65" t="s">
        <v>1052</v>
      </c>
      <c r="N10" s="61"/>
      <c r="O10" s="61"/>
      <c r="P10" s="61"/>
      <c r="Q10" s="61"/>
      <c r="R10" s="61">
        <v>494853</v>
      </c>
      <c r="S10" s="66" t="s">
        <v>63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1468</v>
      </c>
      <c r="B11" s="62">
        <v>46112</v>
      </c>
      <c r="C11" s="63" t="s">
        <v>2047</v>
      </c>
      <c r="D11" s="67"/>
      <c r="E11" s="67">
        <v>-2400956</v>
      </c>
      <c r="F11" s="61" t="str">
        <f t="shared" si="0"/>
        <v>貸</v>
      </c>
      <c r="G11" s="64">
        <f>SUM(D$6:E11)</f>
        <v>0</v>
      </c>
      <c r="H11" s="61"/>
      <c r="I11" s="61" t="s">
        <v>2048</v>
      </c>
      <c r="J11" s="61" t="s">
        <v>114</v>
      </c>
      <c r="K11" s="64">
        <v>-2400956</v>
      </c>
      <c r="L11" s="61"/>
      <c r="M11" s="65" t="s">
        <v>224</v>
      </c>
      <c r="N11" s="61"/>
      <c r="O11" s="61"/>
      <c r="P11" s="61"/>
      <c r="Q11" s="61"/>
      <c r="R11" s="61">
        <v>547532</v>
      </c>
      <c r="S11" s="66" t="s">
        <v>24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1468</v>
      </c>
      <c r="B12" s="62">
        <v>46113</v>
      </c>
      <c r="C12" s="63" t="s">
        <v>2049</v>
      </c>
      <c r="D12" s="67">
        <v>2400956</v>
      </c>
      <c r="E12" s="67"/>
      <c r="F12" s="61" t="str">
        <f t="shared" si="0"/>
        <v>借</v>
      </c>
      <c r="G12" s="64">
        <f>SUM(D$6:E12)</f>
        <v>2400956</v>
      </c>
      <c r="H12" s="61"/>
      <c r="I12" s="61" t="s">
        <v>2050</v>
      </c>
      <c r="J12" s="61" t="s">
        <v>114</v>
      </c>
      <c r="K12" s="64">
        <v>2400956</v>
      </c>
      <c r="L12" s="61"/>
      <c r="M12" s="65" t="s">
        <v>224</v>
      </c>
      <c r="N12" s="61"/>
      <c r="O12" s="61"/>
      <c r="P12" s="61"/>
      <c r="Q12" s="61"/>
      <c r="R12" s="61">
        <v>547533</v>
      </c>
      <c r="S12" s="66" t="s">
        <v>24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 ht="17.25" thickBot="1">
      <c r="A13" s="44"/>
      <c r="B13" s="44" t="s">
        <v>115</v>
      </c>
      <c r="C13" s="44"/>
      <c r="D13" s="45">
        <f>SUBTOTAL(9,D7:D12)</f>
        <v>4801912</v>
      </c>
      <c r="E13" s="45">
        <f>SUBTOTAL(9,E7:E12)</f>
        <v>-2400956</v>
      </c>
      <c r="F13" s="44" t="str">
        <f t="shared" si="0"/>
        <v>借</v>
      </c>
      <c r="G13" s="46">
        <f>G12</f>
        <v>2400956</v>
      </c>
      <c r="H13" s="44"/>
      <c r="I13" s="44"/>
      <c r="J13" s="44"/>
      <c r="K13" s="47">
        <f>SUBTOTAL(9,K7:K12)</f>
        <v>2400956</v>
      </c>
      <c r="L13" s="44"/>
      <c r="M13" s="48" t="s">
        <v>117</v>
      </c>
      <c r="N13" s="48" t="str">
        <f>IF(O13&gt;0,"借","貸")</f>
        <v>借</v>
      </c>
      <c r="O13" s="49">
        <v>2400956</v>
      </c>
      <c r="P13" s="44" t="s">
        <v>118</v>
      </c>
      <c r="Q13" s="49">
        <f>O13-G13</f>
        <v>0</v>
      </c>
      <c r="R13" s="44"/>
      <c r="S13" s="44"/>
      <c r="T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</sheetData>
  <autoFilter ref="A5:AR894" xr:uid="{00000000-0001-0000-0500-000000000000}"/>
  <mergeCells count="3">
    <mergeCell ref="G1:I1"/>
    <mergeCell ref="G3:I3"/>
    <mergeCell ref="G2:I2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00000000-0002-0000-0500-000000000000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6AA36550-ADCD-43BF-8F14-29EBCA208F86}">
      <formula1>0</formula1>
      <formula2>300</formula2>
    </dataValidation>
    <dataValidation type="textLength" errorStyle="information" allowBlank="1" showInputMessage="1" showErrorMessage="1" error="XLBVal:8=_x000d__x000a_XLBRowCount:8=8_x000d__x000a_XLBColCount:8=19_x000d__x000a_" sqref="A6" xr:uid="{E8A1CEB0-4228-46EF-A07D-9897F64CE3CB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49E1-5FB5-4432-A204-2DBFC7EF7659}">
  <sheetPr codeName="工作表7">
    <pageSetUpPr fitToPage="1"/>
  </sheetPr>
  <dimension ref="A1:AR568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5.75" style="5" hidden="1" customWidth="1" outlineLevel="1"/>
    <col min="2" max="2" width="11.125" style="5" bestFit="1" customWidth="1" collapsed="1"/>
    <col min="3" max="3" width="20.5" style="5" bestFit="1" customWidth="1"/>
    <col min="4" max="4" width="14.375" style="6" bestFit="1" customWidth="1"/>
    <col min="5" max="5" width="13.375" style="6" bestFit="1" customWidth="1"/>
    <col min="6" max="6" width="3.75" style="5" bestFit="1" customWidth="1"/>
    <col min="7" max="7" width="17" style="7" bestFit="1" customWidth="1"/>
    <col min="8" max="8" width="6.75" style="5" bestFit="1" customWidth="1"/>
    <col min="9" max="9" width="63.75" style="8" bestFit="1" customWidth="1"/>
    <col min="10" max="10" width="5.75" style="8" bestFit="1" customWidth="1"/>
    <col min="11" max="11" width="15.5" style="9" bestFit="1" customWidth="1"/>
    <col min="12" max="12" width="12.75" style="5" bestFit="1" customWidth="1"/>
    <col min="13" max="13" width="10.12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309</v>
      </c>
      <c r="D4" s="2" t="s">
        <v>313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43220225.000",TargetCell,M_BU,$C4,$C4,M_PRD_FROM,M_PRD_TO,M_DATE,M_T1,M_T1,M_T2,M_T2,M_T3,M_T3,M_T4,M_T4,M_T5,M_T5,M_T6,M_T6,M_T8,M_T8)</f>
        <v>43220225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314</v>
      </c>
      <c r="B7" s="62">
        <v>45028</v>
      </c>
      <c r="C7" s="63" t="s">
        <v>315</v>
      </c>
      <c r="D7" s="67">
        <v>202</v>
      </c>
      <c r="E7" s="67"/>
      <c r="F7" s="61" t="str">
        <f t="shared" ref="F7:F70" si="0">IF(G7&gt;0,"借","貸")</f>
        <v>借</v>
      </c>
      <c r="G7" s="64">
        <f>SUM(D$6:E7)</f>
        <v>202</v>
      </c>
      <c r="H7" s="61"/>
      <c r="I7" s="61" t="s">
        <v>316</v>
      </c>
      <c r="J7" s="61" t="s">
        <v>317</v>
      </c>
      <c r="K7" s="64">
        <v>46.83</v>
      </c>
      <c r="L7" s="61"/>
      <c r="M7" s="65" t="s">
        <v>224</v>
      </c>
      <c r="N7" s="61"/>
      <c r="O7" s="61"/>
      <c r="P7" s="61"/>
      <c r="Q7" s="61"/>
      <c r="R7" s="61">
        <v>332157</v>
      </c>
      <c r="S7" s="66" t="s">
        <v>43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314</v>
      </c>
      <c r="B8" s="62">
        <v>45657</v>
      </c>
      <c r="C8" s="63" t="s">
        <v>322</v>
      </c>
      <c r="D8" s="67">
        <v>3000</v>
      </c>
      <c r="E8" s="67"/>
      <c r="F8" s="61" t="str">
        <f t="shared" si="0"/>
        <v>借</v>
      </c>
      <c r="G8" s="64">
        <f>SUM(D$6:E8)</f>
        <v>3202</v>
      </c>
      <c r="H8" s="61"/>
      <c r="I8" s="61" t="s">
        <v>323</v>
      </c>
      <c r="J8" s="61" t="s">
        <v>114</v>
      </c>
      <c r="K8" s="64">
        <v>3000</v>
      </c>
      <c r="L8" s="61"/>
      <c r="M8" s="65" t="s">
        <v>224</v>
      </c>
      <c r="N8" s="61"/>
      <c r="O8" s="61"/>
      <c r="P8" s="61"/>
      <c r="Q8" s="61"/>
      <c r="R8" s="61">
        <v>455095</v>
      </c>
      <c r="S8" s="66" t="s">
        <v>63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314</v>
      </c>
      <c r="B9" s="62">
        <v>45968</v>
      </c>
      <c r="C9" s="63" t="s">
        <v>1243</v>
      </c>
      <c r="D9" s="67">
        <v>45000</v>
      </c>
      <c r="E9" s="67"/>
      <c r="F9" s="61" t="str">
        <f t="shared" si="0"/>
        <v>借</v>
      </c>
      <c r="G9" s="64">
        <f>SUM(D$6:E9)</f>
        <v>48202</v>
      </c>
      <c r="H9" s="61"/>
      <c r="I9" s="61" t="s">
        <v>1244</v>
      </c>
      <c r="J9" s="61" t="s">
        <v>114</v>
      </c>
      <c r="K9" s="64">
        <v>45000</v>
      </c>
      <c r="L9" s="61"/>
      <c r="M9" s="65" t="s">
        <v>264</v>
      </c>
      <c r="N9" s="61"/>
      <c r="O9" s="61"/>
      <c r="P9" s="61"/>
      <c r="Q9" s="61"/>
      <c r="R9" s="61">
        <v>518317</v>
      </c>
      <c r="S9" s="66" t="s">
        <v>63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314</v>
      </c>
      <c r="B10" s="62">
        <v>45968</v>
      </c>
      <c r="C10" s="63" t="s">
        <v>1245</v>
      </c>
      <c r="D10" s="67">
        <v>42405</v>
      </c>
      <c r="E10" s="67"/>
      <c r="F10" s="61" t="str">
        <f t="shared" si="0"/>
        <v>借</v>
      </c>
      <c r="G10" s="64">
        <f>SUM(D$6:E10)</f>
        <v>90607</v>
      </c>
      <c r="H10" s="61"/>
      <c r="I10" s="61" t="s">
        <v>1246</v>
      </c>
      <c r="J10" s="61" t="s">
        <v>114</v>
      </c>
      <c r="K10" s="64">
        <v>42405</v>
      </c>
      <c r="L10" s="61"/>
      <c r="M10" s="65" t="s">
        <v>318</v>
      </c>
      <c r="N10" s="61"/>
      <c r="O10" s="61"/>
      <c r="P10" s="61"/>
      <c r="Q10" s="61"/>
      <c r="R10" s="61">
        <v>518317</v>
      </c>
      <c r="S10" s="66" t="s">
        <v>63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314</v>
      </c>
      <c r="B11" s="62">
        <v>45995</v>
      </c>
      <c r="C11" s="63" t="s">
        <v>1303</v>
      </c>
      <c r="D11" s="67">
        <v>30000</v>
      </c>
      <c r="E11" s="67"/>
      <c r="F11" s="61" t="str">
        <f t="shared" si="0"/>
        <v>借</v>
      </c>
      <c r="G11" s="64">
        <f>SUM(D$6:E11)</f>
        <v>120607</v>
      </c>
      <c r="H11" s="61" t="s">
        <v>336</v>
      </c>
      <c r="I11" s="61" t="s">
        <v>1304</v>
      </c>
      <c r="J11" s="61" t="s">
        <v>114</v>
      </c>
      <c r="K11" s="64">
        <v>30000</v>
      </c>
      <c r="L11" s="61"/>
      <c r="M11" s="65" t="s">
        <v>1305</v>
      </c>
      <c r="N11" s="61"/>
      <c r="O11" s="61"/>
      <c r="P11" s="61"/>
      <c r="Q11" s="61"/>
      <c r="R11" s="61">
        <v>523292</v>
      </c>
      <c r="S11" s="66" t="s">
        <v>843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314</v>
      </c>
      <c r="B12" s="62">
        <v>45995</v>
      </c>
      <c r="C12" s="63" t="s">
        <v>1306</v>
      </c>
      <c r="D12" s="67">
        <v>45000</v>
      </c>
      <c r="E12" s="67"/>
      <c r="F12" s="61" t="str">
        <f t="shared" si="0"/>
        <v>借</v>
      </c>
      <c r="G12" s="64">
        <f>SUM(D$6:E12)</f>
        <v>165607</v>
      </c>
      <c r="H12" s="61"/>
      <c r="I12" s="61" t="s">
        <v>1307</v>
      </c>
      <c r="J12" s="61" t="s">
        <v>114</v>
      </c>
      <c r="K12" s="64">
        <v>45000</v>
      </c>
      <c r="L12" s="61"/>
      <c r="M12" s="65" t="s">
        <v>264</v>
      </c>
      <c r="N12" s="61"/>
      <c r="O12" s="61"/>
      <c r="P12" s="61"/>
      <c r="Q12" s="61"/>
      <c r="R12" s="61">
        <v>523914</v>
      </c>
      <c r="S12" s="66" t="s">
        <v>843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314</v>
      </c>
      <c r="B13" s="62">
        <v>45996</v>
      </c>
      <c r="C13" s="63" t="s">
        <v>1314</v>
      </c>
      <c r="D13" s="67">
        <v>3000</v>
      </c>
      <c r="E13" s="67"/>
      <c r="F13" s="61" t="str">
        <f t="shared" si="0"/>
        <v>借</v>
      </c>
      <c r="G13" s="64">
        <f>SUM(D$6:E13)</f>
        <v>168607</v>
      </c>
      <c r="H13" s="61"/>
      <c r="I13" s="61" t="s">
        <v>1315</v>
      </c>
      <c r="J13" s="61" t="s">
        <v>114</v>
      </c>
      <c r="K13" s="64">
        <v>3000</v>
      </c>
      <c r="L13" s="61"/>
      <c r="M13" s="65" t="s">
        <v>330</v>
      </c>
      <c r="N13" s="61"/>
      <c r="O13" s="61"/>
      <c r="P13" s="61"/>
      <c r="Q13" s="61"/>
      <c r="R13" s="61">
        <v>523923</v>
      </c>
      <c r="S13" s="66" t="s">
        <v>843</v>
      </c>
      <c r="T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314</v>
      </c>
      <c r="B14" s="62">
        <v>45999</v>
      </c>
      <c r="C14" s="63" t="s">
        <v>1316</v>
      </c>
      <c r="D14" s="67">
        <v>45000</v>
      </c>
      <c r="E14" s="67"/>
      <c r="F14" s="61" t="str">
        <f t="shared" si="0"/>
        <v>借</v>
      </c>
      <c r="G14" s="64">
        <f>SUM(D$6:E14)</f>
        <v>213607</v>
      </c>
      <c r="H14" s="61"/>
      <c r="I14" s="61" t="s">
        <v>1317</v>
      </c>
      <c r="J14" s="61" t="s">
        <v>114</v>
      </c>
      <c r="K14" s="64">
        <v>45000</v>
      </c>
      <c r="L14" s="61"/>
      <c r="M14" s="65" t="s">
        <v>264</v>
      </c>
      <c r="N14" s="61"/>
      <c r="O14" s="61"/>
      <c r="P14" s="61"/>
      <c r="Q14" s="61"/>
      <c r="R14" s="61">
        <v>524700</v>
      </c>
      <c r="S14" s="66" t="s">
        <v>843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314</v>
      </c>
      <c r="B15" s="62">
        <v>45999</v>
      </c>
      <c r="C15" s="63" t="s">
        <v>1318</v>
      </c>
      <c r="D15" s="67">
        <v>9500</v>
      </c>
      <c r="E15" s="67"/>
      <c r="F15" s="61" t="str">
        <f t="shared" si="0"/>
        <v>借</v>
      </c>
      <c r="G15" s="64">
        <f>SUM(D$6:E15)</f>
        <v>223107</v>
      </c>
      <c r="H15" s="61"/>
      <c r="I15" s="61" t="s">
        <v>1319</v>
      </c>
      <c r="J15" s="61" t="s">
        <v>114</v>
      </c>
      <c r="K15" s="64">
        <v>9500</v>
      </c>
      <c r="L15" s="61"/>
      <c r="M15" s="65" t="s">
        <v>370</v>
      </c>
      <c r="N15" s="61"/>
      <c r="O15" s="61"/>
      <c r="P15" s="61"/>
      <c r="Q15" s="61"/>
      <c r="R15" s="61">
        <v>524700</v>
      </c>
      <c r="S15" s="66" t="s">
        <v>843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314</v>
      </c>
      <c r="B16" s="62">
        <v>45999</v>
      </c>
      <c r="C16" s="63" t="s">
        <v>1320</v>
      </c>
      <c r="D16" s="67">
        <v>42400</v>
      </c>
      <c r="E16" s="67"/>
      <c r="F16" s="61" t="str">
        <f t="shared" si="0"/>
        <v>借</v>
      </c>
      <c r="G16" s="64">
        <f>SUM(D$6:E16)</f>
        <v>265507</v>
      </c>
      <c r="H16" s="61"/>
      <c r="I16" s="61" t="s">
        <v>1321</v>
      </c>
      <c r="J16" s="61" t="s">
        <v>114</v>
      </c>
      <c r="K16" s="64">
        <v>42400</v>
      </c>
      <c r="L16" s="61"/>
      <c r="M16" s="65" t="s">
        <v>318</v>
      </c>
      <c r="N16" s="61"/>
      <c r="O16" s="61"/>
      <c r="P16" s="61"/>
      <c r="Q16" s="61"/>
      <c r="R16" s="61">
        <v>524700</v>
      </c>
      <c r="S16" s="66" t="s">
        <v>843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314</v>
      </c>
      <c r="B17" s="62">
        <v>45999</v>
      </c>
      <c r="C17" s="63" t="s">
        <v>1322</v>
      </c>
      <c r="D17" s="67">
        <v>3000</v>
      </c>
      <c r="E17" s="67"/>
      <c r="F17" s="61" t="str">
        <f t="shared" si="0"/>
        <v>借</v>
      </c>
      <c r="G17" s="64">
        <f>SUM(D$6:E17)</f>
        <v>268507</v>
      </c>
      <c r="H17" s="61"/>
      <c r="I17" s="61" t="s">
        <v>1476</v>
      </c>
      <c r="J17" s="61" t="s">
        <v>114</v>
      </c>
      <c r="K17" s="64">
        <v>3000</v>
      </c>
      <c r="L17" s="61"/>
      <c r="M17" s="65" t="s">
        <v>1107</v>
      </c>
      <c r="N17" s="61"/>
      <c r="O17" s="61"/>
      <c r="P17" s="61"/>
      <c r="Q17" s="61"/>
      <c r="R17" s="61">
        <v>524700</v>
      </c>
      <c r="S17" s="66" t="s">
        <v>843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314</v>
      </c>
      <c r="B18" s="62">
        <v>45999</v>
      </c>
      <c r="C18" s="63" t="s">
        <v>1324</v>
      </c>
      <c r="D18" s="67">
        <v>18800</v>
      </c>
      <c r="E18" s="67"/>
      <c r="F18" s="61" t="str">
        <f t="shared" si="0"/>
        <v>借</v>
      </c>
      <c r="G18" s="64">
        <f>SUM(D$6:E18)</f>
        <v>287307</v>
      </c>
      <c r="H18" s="61"/>
      <c r="I18" s="61" t="s">
        <v>1325</v>
      </c>
      <c r="J18" s="61" t="s">
        <v>114</v>
      </c>
      <c r="K18" s="64">
        <v>18800</v>
      </c>
      <c r="L18" s="61"/>
      <c r="M18" s="65" t="s">
        <v>319</v>
      </c>
      <c r="N18" s="61"/>
      <c r="O18" s="61"/>
      <c r="P18" s="61"/>
      <c r="Q18" s="61"/>
      <c r="R18" s="61">
        <v>524700</v>
      </c>
      <c r="S18" s="66" t="s">
        <v>843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314</v>
      </c>
      <c r="B19" s="62">
        <v>45999</v>
      </c>
      <c r="C19" s="63" t="s">
        <v>1327</v>
      </c>
      <c r="D19" s="67">
        <v>3000</v>
      </c>
      <c r="E19" s="67"/>
      <c r="F19" s="61" t="str">
        <f t="shared" si="0"/>
        <v>借</v>
      </c>
      <c r="G19" s="64">
        <f>SUM(D$6:E19)</f>
        <v>290307</v>
      </c>
      <c r="H19" s="61"/>
      <c r="I19" s="61" t="s">
        <v>1328</v>
      </c>
      <c r="J19" s="61" t="s">
        <v>114</v>
      </c>
      <c r="K19" s="64">
        <v>3000</v>
      </c>
      <c r="L19" s="61"/>
      <c r="M19" s="65" t="s">
        <v>330</v>
      </c>
      <c r="N19" s="61"/>
      <c r="O19" s="61"/>
      <c r="P19" s="61"/>
      <c r="Q19" s="61"/>
      <c r="R19" s="61">
        <v>524700</v>
      </c>
      <c r="S19" s="66" t="s">
        <v>843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314</v>
      </c>
      <c r="B20" s="62">
        <v>45999</v>
      </c>
      <c r="C20" s="63" t="s">
        <v>1329</v>
      </c>
      <c r="D20" s="67">
        <v>4000</v>
      </c>
      <c r="E20" s="67"/>
      <c r="F20" s="61" t="str">
        <f t="shared" si="0"/>
        <v>借</v>
      </c>
      <c r="G20" s="64">
        <f>SUM(D$6:E20)</f>
        <v>294307</v>
      </c>
      <c r="H20" s="61"/>
      <c r="I20" s="61" t="s">
        <v>1330</v>
      </c>
      <c r="J20" s="61" t="s">
        <v>114</v>
      </c>
      <c r="K20" s="64">
        <v>4000</v>
      </c>
      <c r="L20" s="61"/>
      <c r="M20" s="65" t="s">
        <v>355</v>
      </c>
      <c r="N20" s="61"/>
      <c r="O20" s="61"/>
      <c r="P20" s="61"/>
      <c r="Q20" s="61"/>
      <c r="R20" s="61">
        <v>524700</v>
      </c>
      <c r="S20" s="66" t="s">
        <v>843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314</v>
      </c>
      <c r="B21" s="62">
        <v>45999</v>
      </c>
      <c r="C21" s="63" t="s">
        <v>1331</v>
      </c>
      <c r="D21" s="67">
        <v>5000</v>
      </c>
      <c r="E21" s="67"/>
      <c r="F21" s="61" t="str">
        <f t="shared" si="0"/>
        <v>借</v>
      </c>
      <c r="G21" s="64">
        <f>SUM(D$6:E21)</f>
        <v>299307</v>
      </c>
      <c r="H21" s="61"/>
      <c r="I21" s="61" t="s">
        <v>1332</v>
      </c>
      <c r="J21" s="61" t="s">
        <v>114</v>
      </c>
      <c r="K21" s="64">
        <v>5000</v>
      </c>
      <c r="L21" s="61"/>
      <c r="M21" s="65" t="s">
        <v>321</v>
      </c>
      <c r="N21" s="61"/>
      <c r="O21" s="61"/>
      <c r="P21" s="61"/>
      <c r="Q21" s="61"/>
      <c r="R21" s="61">
        <v>524700</v>
      </c>
      <c r="S21" s="66" t="s">
        <v>843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314</v>
      </c>
      <c r="B22" s="62">
        <v>46024</v>
      </c>
      <c r="C22" s="63" t="s">
        <v>1346</v>
      </c>
      <c r="D22" s="67">
        <v>50000</v>
      </c>
      <c r="E22" s="67"/>
      <c r="F22" s="61" t="str">
        <f t="shared" si="0"/>
        <v>借</v>
      </c>
      <c r="G22" s="64">
        <f>SUM(D$6:E22)</f>
        <v>349307</v>
      </c>
      <c r="H22" s="61" t="s">
        <v>335</v>
      </c>
      <c r="I22" s="61" t="s">
        <v>1347</v>
      </c>
      <c r="J22" s="61" t="s">
        <v>114</v>
      </c>
      <c r="K22" s="64">
        <v>50000</v>
      </c>
      <c r="L22" s="61"/>
      <c r="M22" s="65" t="s">
        <v>1348</v>
      </c>
      <c r="N22" s="61"/>
      <c r="O22" s="61"/>
      <c r="P22" s="61"/>
      <c r="Q22" s="61"/>
      <c r="R22" s="61">
        <v>529452</v>
      </c>
      <c r="S22" s="66" t="s">
        <v>843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314</v>
      </c>
      <c r="B23" s="62">
        <v>46028</v>
      </c>
      <c r="C23" s="63" t="s">
        <v>1349</v>
      </c>
      <c r="D23" s="67">
        <v>5000</v>
      </c>
      <c r="E23" s="67"/>
      <c r="F23" s="61" t="str">
        <f t="shared" si="0"/>
        <v>借</v>
      </c>
      <c r="G23" s="64">
        <f>SUM(D$6:E23)</f>
        <v>354307</v>
      </c>
      <c r="H23" s="61"/>
      <c r="I23" s="61" t="s">
        <v>1350</v>
      </c>
      <c r="J23" s="61" t="s">
        <v>114</v>
      </c>
      <c r="K23" s="64">
        <v>5000</v>
      </c>
      <c r="L23" s="61"/>
      <c r="M23" s="65" t="s">
        <v>324</v>
      </c>
      <c r="N23" s="61"/>
      <c r="O23" s="61"/>
      <c r="P23" s="61"/>
      <c r="Q23" s="61"/>
      <c r="R23" s="61">
        <v>529518</v>
      </c>
      <c r="S23" s="66" t="s">
        <v>843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314</v>
      </c>
      <c r="B24" s="62">
        <v>46028</v>
      </c>
      <c r="C24" s="63" t="s">
        <v>1351</v>
      </c>
      <c r="D24" s="67">
        <v>42425</v>
      </c>
      <c r="E24" s="67"/>
      <c r="F24" s="61" t="str">
        <f t="shared" si="0"/>
        <v>借</v>
      </c>
      <c r="G24" s="64">
        <f>SUM(D$6:E24)</f>
        <v>396732</v>
      </c>
      <c r="H24" s="61"/>
      <c r="I24" s="61" t="s">
        <v>1352</v>
      </c>
      <c r="J24" s="61" t="s">
        <v>114</v>
      </c>
      <c r="K24" s="64">
        <v>42425</v>
      </c>
      <c r="L24" s="61"/>
      <c r="M24" s="65" t="s">
        <v>318</v>
      </c>
      <c r="N24" s="61"/>
      <c r="O24" s="61"/>
      <c r="P24" s="61"/>
      <c r="Q24" s="61"/>
      <c r="R24" s="61">
        <v>529518</v>
      </c>
      <c r="S24" s="66" t="s">
        <v>843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314</v>
      </c>
      <c r="B25" s="62">
        <v>46028</v>
      </c>
      <c r="C25" s="63" t="s">
        <v>1353</v>
      </c>
      <c r="D25" s="67">
        <v>18800</v>
      </c>
      <c r="E25" s="67"/>
      <c r="F25" s="61" t="str">
        <f t="shared" si="0"/>
        <v>借</v>
      </c>
      <c r="G25" s="64">
        <f>SUM(D$6:E25)</f>
        <v>415532</v>
      </c>
      <c r="H25" s="61"/>
      <c r="I25" s="61" t="s">
        <v>1354</v>
      </c>
      <c r="J25" s="61" t="s">
        <v>114</v>
      </c>
      <c r="K25" s="64">
        <v>18800</v>
      </c>
      <c r="L25" s="61"/>
      <c r="M25" s="65" t="s">
        <v>319</v>
      </c>
      <c r="N25" s="61"/>
      <c r="O25" s="61"/>
      <c r="P25" s="61"/>
      <c r="Q25" s="61"/>
      <c r="R25" s="61">
        <v>529518</v>
      </c>
      <c r="S25" s="66" t="s">
        <v>843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314</v>
      </c>
      <c r="B26" s="62">
        <v>46028</v>
      </c>
      <c r="C26" s="63" t="s">
        <v>1355</v>
      </c>
      <c r="D26" s="67">
        <v>37000</v>
      </c>
      <c r="E26" s="67"/>
      <c r="F26" s="61" t="str">
        <f t="shared" si="0"/>
        <v>借</v>
      </c>
      <c r="G26" s="64">
        <f>SUM(D$6:E26)</f>
        <v>452532</v>
      </c>
      <c r="H26" s="61"/>
      <c r="I26" s="61" t="s">
        <v>1356</v>
      </c>
      <c r="J26" s="61" t="s">
        <v>114</v>
      </c>
      <c r="K26" s="64">
        <v>37000</v>
      </c>
      <c r="L26" s="61"/>
      <c r="M26" s="65" t="s">
        <v>306</v>
      </c>
      <c r="N26" s="61"/>
      <c r="O26" s="61"/>
      <c r="P26" s="61"/>
      <c r="Q26" s="61"/>
      <c r="R26" s="61">
        <v>529518</v>
      </c>
      <c r="S26" s="66" t="s">
        <v>843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314</v>
      </c>
      <c r="B27" s="62">
        <v>46028</v>
      </c>
      <c r="C27" s="63" t="s">
        <v>1357</v>
      </c>
      <c r="D27" s="67">
        <v>4000</v>
      </c>
      <c r="E27" s="67"/>
      <c r="F27" s="61" t="str">
        <f t="shared" si="0"/>
        <v>借</v>
      </c>
      <c r="G27" s="64">
        <f>SUM(D$6:E27)</f>
        <v>456532</v>
      </c>
      <c r="H27" s="61"/>
      <c r="I27" s="61" t="s">
        <v>1358</v>
      </c>
      <c r="J27" s="61" t="s">
        <v>114</v>
      </c>
      <c r="K27" s="64">
        <v>4000</v>
      </c>
      <c r="L27" s="61"/>
      <c r="M27" s="65" t="s">
        <v>270</v>
      </c>
      <c r="N27" s="61"/>
      <c r="O27" s="61"/>
      <c r="P27" s="61"/>
      <c r="Q27" s="61"/>
      <c r="R27" s="61">
        <v>529518</v>
      </c>
      <c r="S27" s="66" t="s">
        <v>843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314</v>
      </c>
      <c r="B28" s="62">
        <v>46028</v>
      </c>
      <c r="C28" s="63" t="s">
        <v>1359</v>
      </c>
      <c r="D28" s="67">
        <v>4000</v>
      </c>
      <c r="E28" s="67"/>
      <c r="F28" s="61" t="str">
        <f t="shared" si="0"/>
        <v>借</v>
      </c>
      <c r="G28" s="64">
        <f>SUM(D$6:E28)</f>
        <v>460532</v>
      </c>
      <c r="H28" s="61"/>
      <c r="I28" s="61" t="s">
        <v>1360</v>
      </c>
      <c r="J28" s="61" t="s">
        <v>114</v>
      </c>
      <c r="K28" s="64">
        <v>4000</v>
      </c>
      <c r="L28" s="61"/>
      <c r="M28" s="65" t="s">
        <v>355</v>
      </c>
      <c r="N28" s="61"/>
      <c r="O28" s="61"/>
      <c r="P28" s="61"/>
      <c r="Q28" s="61"/>
      <c r="R28" s="61">
        <v>529518</v>
      </c>
      <c r="S28" s="66" t="s">
        <v>843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314</v>
      </c>
      <c r="B29" s="62">
        <v>46029</v>
      </c>
      <c r="C29" s="63" t="s">
        <v>1416</v>
      </c>
      <c r="D29" s="67">
        <v>250000</v>
      </c>
      <c r="E29" s="67"/>
      <c r="F29" s="61" t="str">
        <f t="shared" si="0"/>
        <v>借</v>
      </c>
      <c r="G29" s="64">
        <f>SUM(D$6:E29)</f>
        <v>710532</v>
      </c>
      <c r="H29" s="61" t="s">
        <v>333</v>
      </c>
      <c r="I29" s="61" t="s">
        <v>1417</v>
      </c>
      <c r="J29" s="61" t="s">
        <v>114</v>
      </c>
      <c r="K29" s="64">
        <v>250000</v>
      </c>
      <c r="L29" s="61"/>
      <c r="M29" s="65" t="s">
        <v>1418</v>
      </c>
      <c r="N29" s="61"/>
      <c r="O29" s="61"/>
      <c r="P29" s="61"/>
      <c r="Q29" s="61"/>
      <c r="R29" s="61">
        <v>530409</v>
      </c>
      <c r="S29" s="66" t="s">
        <v>843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314</v>
      </c>
      <c r="B30" s="62">
        <v>46030</v>
      </c>
      <c r="C30" s="63" t="s">
        <v>1421</v>
      </c>
      <c r="D30" s="67">
        <v>4130</v>
      </c>
      <c r="E30" s="67"/>
      <c r="F30" s="61" t="str">
        <f t="shared" si="0"/>
        <v>借</v>
      </c>
      <c r="G30" s="64">
        <f>SUM(D$6:E30)</f>
        <v>714662</v>
      </c>
      <c r="H30" s="61"/>
      <c r="I30" s="61" t="s">
        <v>1422</v>
      </c>
      <c r="J30" s="61" t="s">
        <v>114</v>
      </c>
      <c r="K30" s="64">
        <v>4130</v>
      </c>
      <c r="L30" s="61"/>
      <c r="M30" s="65" t="s">
        <v>272</v>
      </c>
      <c r="N30" s="61"/>
      <c r="O30" s="61"/>
      <c r="P30" s="61"/>
      <c r="Q30" s="61"/>
      <c r="R30" s="61">
        <v>530845</v>
      </c>
      <c r="S30" s="66" t="s">
        <v>843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314</v>
      </c>
      <c r="B31" s="62">
        <v>46043</v>
      </c>
      <c r="C31" s="63" t="s">
        <v>1479</v>
      </c>
      <c r="D31" s="67">
        <v>20035</v>
      </c>
      <c r="E31" s="67"/>
      <c r="F31" s="61" t="str">
        <f t="shared" si="0"/>
        <v>借</v>
      </c>
      <c r="G31" s="64">
        <f>SUM(D$6:E31)</f>
        <v>734697</v>
      </c>
      <c r="H31" s="61" t="s">
        <v>1294</v>
      </c>
      <c r="I31" s="61" t="s">
        <v>1480</v>
      </c>
      <c r="J31" s="61" t="s">
        <v>114</v>
      </c>
      <c r="K31" s="64">
        <v>20035</v>
      </c>
      <c r="L31" s="61"/>
      <c r="M31" s="65" t="s">
        <v>1343</v>
      </c>
      <c r="N31" s="61"/>
      <c r="O31" s="61"/>
      <c r="P31" s="61"/>
      <c r="Q31" s="61"/>
      <c r="R31" s="61">
        <v>532754</v>
      </c>
      <c r="S31" s="66" t="s">
        <v>843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314</v>
      </c>
      <c r="B32" s="62">
        <v>46052</v>
      </c>
      <c r="C32" s="63" t="s">
        <v>1481</v>
      </c>
      <c r="D32" s="67">
        <v>1106934</v>
      </c>
      <c r="E32" s="67"/>
      <c r="F32" s="61" t="str">
        <f t="shared" si="0"/>
        <v>借</v>
      </c>
      <c r="G32" s="64">
        <f>SUM(D$6:E32)</f>
        <v>1841631</v>
      </c>
      <c r="H32" s="61"/>
      <c r="I32" s="61" t="s">
        <v>1482</v>
      </c>
      <c r="J32" s="61" t="s">
        <v>114</v>
      </c>
      <c r="K32" s="64">
        <v>1106934</v>
      </c>
      <c r="L32" s="61"/>
      <c r="M32" s="65" t="s">
        <v>224</v>
      </c>
      <c r="N32" s="61"/>
      <c r="O32" s="61"/>
      <c r="P32" s="61"/>
      <c r="Q32" s="61"/>
      <c r="R32" s="61">
        <v>533321</v>
      </c>
      <c r="S32" s="66" t="s">
        <v>1478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314</v>
      </c>
      <c r="B33" s="62">
        <v>46059</v>
      </c>
      <c r="C33" s="63" t="s">
        <v>1565</v>
      </c>
      <c r="D33" s="67">
        <v>75004</v>
      </c>
      <c r="E33" s="67"/>
      <c r="F33" s="61" t="str">
        <f t="shared" si="0"/>
        <v>借</v>
      </c>
      <c r="G33" s="64">
        <f>SUM(D$6:E33)</f>
        <v>1916635</v>
      </c>
      <c r="H33" s="61"/>
      <c r="I33" s="61" t="s">
        <v>1566</v>
      </c>
      <c r="J33" s="61" t="s">
        <v>114</v>
      </c>
      <c r="K33" s="64">
        <v>75004</v>
      </c>
      <c r="L33" s="61"/>
      <c r="M33" s="65" t="s">
        <v>265</v>
      </c>
      <c r="N33" s="61"/>
      <c r="O33" s="61"/>
      <c r="P33" s="61"/>
      <c r="Q33" s="61"/>
      <c r="R33" s="61">
        <v>537475</v>
      </c>
      <c r="S33" s="66" t="s">
        <v>843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314</v>
      </c>
      <c r="B34" s="62">
        <v>46059</v>
      </c>
      <c r="C34" s="63" t="s">
        <v>1567</v>
      </c>
      <c r="D34" s="67">
        <v>63072</v>
      </c>
      <c r="E34" s="67"/>
      <c r="F34" s="61" t="str">
        <f t="shared" si="0"/>
        <v>借</v>
      </c>
      <c r="G34" s="64">
        <f>SUM(D$6:E34)</f>
        <v>1979707</v>
      </c>
      <c r="H34" s="61"/>
      <c r="I34" s="61" t="s">
        <v>1568</v>
      </c>
      <c r="J34" s="61" t="s">
        <v>114</v>
      </c>
      <c r="K34" s="64">
        <v>63072</v>
      </c>
      <c r="L34" s="61"/>
      <c r="M34" s="65" t="s">
        <v>339</v>
      </c>
      <c r="N34" s="61"/>
      <c r="O34" s="61"/>
      <c r="P34" s="61"/>
      <c r="Q34" s="61"/>
      <c r="R34" s="61">
        <v>537475</v>
      </c>
      <c r="S34" s="66" t="s">
        <v>843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314</v>
      </c>
      <c r="B35" s="62">
        <v>46059</v>
      </c>
      <c r="C35" s="63" t="s">
        <v>1569</v>
      </c>
      <c r="D35" s="67">
        <v>45000</v>
      </c>
      <c r="E35" s="67"/>
      <c r="F35" s="61" t="str">
        <f t="shared" si="0"/>
        <v>借</v>
      </c>
      <c r="G35" s="64">
        <f>SUM(D$6:E35)</f>
        <v>2024707</v>
      </c>
      <c r="H35" s="61"/>
      <c r="I35" s="61" t="s">
        <v>1570</v>
      </c>
      <c r="J35" s="61" t="s">
        <v>114</v>
      </c>
      <c r="K35" s="64">
        <v>45000</v>
      </c>
      <c r="L35" s="61"/>
      <c r="M35" s="65" t="s">
        <v>264</v>
      </c>
      <c r="N35" s="61"/>
      <c r="O35" s="61"/>
      <c r="P35" s="61"/>
      <c r="Q35" s="61"/>
      <c r="R35" s="61">
        <v>537475</v>
      </c>
      <c r="S35" s="66" t="s">
        <v>843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314</v>
      </c>
      <c r="B36" s="62">
        <v>46059</v>
      </c>
      <c r="C36" s="63" t="s">
        <v>1571</v>
      </c>
      <c r="D36" s="67">
        <v>5000</v>
      </c>
      <c r="E36" s="67"/>
      <c r="F36" s="61" t="str">
        <f t="shared" si="0"/>
        <v>借</v>
      </c>
      <c r="G36" s="64">
        <f>SUM(D$6:E36)</f>
        <v>2029707</v>
      </c>
      <c r="H36" s="61"/>
      <c r="I36" s="61" t="s">
        <v>1572</v>
      </c>
      <c r="J36" s="61" t="s">
        <v>114</v>
      </c>
      <c r="K36" s="64">
        <v>5000</v>
      </c>
      <c r="L36" s="61"/>
      <c r="M36" s="65" t="s">
        <v>1573</v>
      </c>
      <c r="N36" s="61"/>
      <c r="O36" s="61"/>
      <c r="P36" s="61"/>
      <c r="Q36" s="61"/>
      <c r="R36" s="61">
        <v>537475</v>
      </c>
      <c r="S36" s="66" t="s">
        <v>843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314</v>
      </c>
      <c r="B37" s="62">
        <v>46059</v>
      </c>
      <c r="C37" s="63" t="s">
        <v>1574</v>
      </c>
      <c r="D37" s="67">
        <v>16965</v>
      </c>
      <c r="E37" s="67"/>
      <c r="F37" s="61" t="str">
        <f t="shared" si="0"/>
        <v>借</v>
      </c>
      <c r="G37" s="64">
        <f>SUM(D$6:E37)</f>
        <v>2046672</v>
      </c>
      <c r="H37" s="61"/>
      <c r="I37" s="61" t="s">
        <v>1575</v>
      </c>
      <c r="J37" s="61" t="s">
        <v>114</v>
      </c>
      <c r="K37" s="64">
        <v>16965</v>
      </c>
      <c r="L37" s="61"/>
      <c r="M37" s="65" t="s">
        <v>368</v>
      </c>
      <c r="N37" s="61"/>
      <c r="O37" s="61"/>
      <c r="P37" s="61"/>
      <c r="Q37" s="61"/>
      <c r="R37" s="61">
        <v>537475</v>
      </c>
      <c r="S37" s="66" t="s">
        <v>843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314</v>
      </c>
      <c r="B38" s="62">
        <v>46059</v>
      </c>
      <c r="C38" s="63" t="s">
        <v>1578</v>
      </c>
      <c r="D38" s="67">
        <v>6026</v>
      </c>
      <c r="E38" s="67"/>
      <c r="F38" s="61" t="str">
        <f t="shared" si="0"/>
        <v>借</v>
      </c>
      <c r="G38" s="64">
        <f>SUM(D$6:E38)</f>
        <v>2052698</v>
      </c>
      <c r="H38" s="61"/>
      <c r="I38" s="61" t="s">
        <v>2051</v>
      </c>
      <c r="J38" s="61" t="s">
        <v>114</v>
      </c>
      <c r="K38" s="64">
        <v>6026</v>
      </c>
      <c r="L38" s="61"/>
      <c r="M38" s="65" t="s">
        <v>324</v>
      </c>
      <c r="N38" s="61"/>
      <c r="O38" s="61"/>
      <c r="P38" s="61"/>
      <c r="Q38" s="61"/>
      <c r="R38" s="61">
        <v>537475</v>
      </c>
      <c r="S38" s="66" t="s">
        <v>843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314</v>
      </c>
      <c r="B39" s="62">
        <v>46059</v>
      </c>
      <c r="C39" s="63" t="s">
        <v>1580</v>
      </c>
      <c r="D39" s="67">
        <v>10000</v>
      </c>
      <c r="E39" s="67"/>
      <c r="F39" s="61" t="str">
        <f t="shared" si="0"/>
        <v>借</v>
      </c>
      <c r="G39" s="64">
        <f>SUM(D$6:E39)</f>
        <v>2062698</v>
      </c>
      <c r="H39" s="61"/>
      <c r="I39" s="61" t="s">
        <v>1581</v>
      </c>
      <c r="J39" s="61" t="s">
        <v>114</v>
      </c>
      <c r="K39" s="64">
        <v>10000</v>
      </c>
      <c r="L39" s="61"/>
      <c r="M39" s="65" t="s">
        <v>979</v>
      </c>
      <c r="N39" s="61"/>
      <c r="O39" s="61"/>
      <c r="P39" s="61"/>
      <c r="Q39" s="61"/>
      <c r="R39" s="61">
        <v>537475</v>
      </c>
      <c r="S39" s="66" t="s">
        <v>843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314</v>
      </c>
      <c r="B40" s="62">
        <v>46059</v>
      </c>
      <c r="C40" s="63" t="s">
        <v>1582</v>
      </c>
      <c r="D40" s="67">
        <v>55030</v>
      </c>
      <c r="E40" s="67"/>
      <c r="F40" s="61" t="str">
        <f t="shared" si="0"/>
        <v>借</v>
      </c>
      <c r="G40" s="64">
        <f>SUM(D$6:E40)</f>
        <v>2117728</v>
      </c>
      <c r="H40" s="61"/>
      <c r="I40" s="61" t="s">
        <v>1583</v>
      </c>
      <c r="J40" s="61" t="s">
        <v>114</v>
      </c>
      <c r="K40" s="64">
        <v>55030</v>
      </c>
      <c r="L40" s="61"/>
      <c r="M40" s="65" t="s">
        <v>1017</v>
      </c>
      <c r="N40" s="61"/>
      <c r="O40" s="61"/>
      <c r="P40" s="61"/>
      <c r="Q40" s="61"/>
      <c r="R40" s="61">
        <v>537475</v>
      </c>
      <c r="S40" s="66" t="s">
        <v>843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314</v>
      </c>
      <c r="B41" s="62">
        <v>46059</v>
      </c>
      <c r="C41" s="63" t="s">
        <v>1584</v>
      </c>
      <c r="D41" s="67">
        <v>42410</v>
      </c>
      <c r="E41" s="67"/>
      <c r="F41" s="61" t="str">
        <f t="shared" si="0"/>
        <v>借</v>
      </c>
      <c r="G41" s="64">
        <f>SUM(D$6:E41)</f>
        <v>2160138</v>
      </c>
      <c r="H41" s="61"/>
      <c r="I41" s="61" t="s">
        <v>1585</v>
      </c>
      <c r="J41" s="61" t="s">
        <v>114</v>
      </c>
      <c r="K41" s="64">
        <v>42410</v>
      </c>
      <c r="L41" s="61"/>
      <c r="M41" s="65" t="s">
        <v>318</v>
      </c>
      <c r="N41" s="61"/>
      <c r="O41" s="61"/>
      <c r="P41" s="61"/>
      <c r="Q41" s="61"/>
      <c r="R41" s="61">
        <v>537475</v>
      </c>
      <c r="S41" s="66" t="s">
        <v>843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314</v>
      </c>
      <c r="B42" s="62">
        <v>46059</v>
      </c>
      <c r="C42" s="63" t="s">
        <v>1586</v>
      </c>
      <c r="D42" s="67">
        <v>142500</v>
      </c>
      <c r="E42" s="67"/>
      <c r="F42" s="61" t="str">
        <f t="shared" si="0"/>
        <v>借</v>
      </c>
      <c r="G42" s="64">
        <f>SUM(D$6:E42)</f>
        <v>2302638</v>
      </c>
      <c r="H42" s="61"/>
      <c r="I42" s="61" t="s">
        <v>1587</v>
      </c>
      <c r="J42" s="61" t="s">
        <v>114</v>
      </c>
      <c r="K42" s="64">
        <v>142500</v>
      </c>
      <c r="L42" s="61"/>
      <c r="M42" s="65" t="s">
        <v>293</v>
      </c>
      <c r="N42" s="61"/>
      <c r="O42" s="61"/>
      <c r="P42" s="61"/>
      <c r="Q42" s="61"/>
      <c r="R42" s="61">
        <v>537475</v>
      </c>
      <c r="S42" s="66" t="s">
        <v>843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314</v>
      </c>
      <c r="B43" s="62">
        <v>46059</v>
      </c>
      <c r="C43" s="63" t="s">
        <v>1588</v>
      </c>
      <c r="D43" s="67">
        <v>18800</v>
      </c>
      <c r="E43" s="67"/>
      <c r="F43" s="61" t="str">
        <f t="shared" si="0"/>
        <v>借</v>
      </c>
      <c r="G43" s="64">
        <f>SUM(D$6:E43)</f>
        <v>2321438</v>
      </c>
      <c r="H43" s="61"/>
      <c r="I43" s="61" t="s">
        <v>1589</v>
      </c>
      <c r="J43" s="61" t="s">
        <v>114</v>
      </c>
      <c r="K43" s="64">
        <v>18800</v>
      </c>
      <c r="L43" s="61"/>
      <c r="M43" s="65" t="s">
        <v>319</v>
      </c>
      <c r="N43" s="61"/>
      <c r="O43" s="61"/>
      <c r="P43" s="61"/>
      <c r="Q43" s="61"/>
      <c r="R43" s="61">
        <v>537475</v>
      </c>
      <c r="S43" s="66" t="s">
        <v>843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314</v>
      </c>
      <c r="B44" s="62">
        <v>46059</v>
      </c>
      <c r="C44" s="63" t="s">
        <v>1590</v>
      </c>
      <c r="D44" s="67">
        <v>37000</v>
      </c>
      <c r="E44" s="67"/>
      <c r="F44" s="61" t="str">
        <f t="shared" si="0"/>
        <v>借</v>
      </c>
      <c r="G44" s="64">
        <f>SUM(D$6:E44)</f>
        <v>2358438</v>
      </c>
      <c r="H44" s="61"/>
      <c r="I44" s="61" t="s">
        <v>1591</v>
      </c>
      <c r="J44" s="61" t="s">
        <v>114</v>
      </c>
      <c r="K44" s="64">
        <v>37000</v>
      </c>
      <c r="L44" s="61"/>
      <c r="M44" s="65" t="s">
        <v>306</v>
      </c>
      <c r="N44" s="61"/>
      <c r="O44" s="61"/>
      <c r="P44" s="61"/>
      <c r="Q44" s="61"/>
      <c r="R44" s="61">
        <v>537475</v>
      </c>
      <c r="S44" s="66" t="s">
        <v>843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314</v>
      </c>
      <c r="B45" s="62">
        <v>46059</v>
      </c>
      <c r="C45" s="63" t="s">
        <v>1592</v>
      </c>
      <c r="D45" s="67">
        <v>33000</v>
      </c>
      <c r="E45" s="67"/>
      <c r="F45" s="61" t="str">
        <f t="shared" si="0"/>
        <v>借</v>
      </c>
      <c r="G45" s="64">
        <f>SUM(D$6:E45)</f>
        <v>2391438</v>
      </c>
      <c r="H45" s="61"/>
      <c r="I45" s="61" t="s">
        <v>1593</v>
      </c>
      <c r="J45" s="61" t="s">
        <v>114</v>
      </c>
      <c r="K45" s="64">
        <v>33000</v>
      </c>
      <c r="L45" s="61"/>
      <c r="M45" s="65" t="s">
        <v>346</v>
      </c>
      <c r="N45" s="61"/>
      <c r="O45" s="61"/>
      <c r="P45" s="61"/>
      <c r="Q45" s="61"/>
      <c r="R45" s="61">
        <v>537475</v>
      </c>
      <c r="S45" s="66" t="s">
        <v>843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314</v>
      </c>
      <c r="B46" s="62">
        <v>46059</v>
      </c>
      <c r="C46" s="63" t="s">
        <v>1595</v>
      </c>
      <c r="D46" s="67">
        <v>3004</v>
      </c>
      <c r="E46" s="67"/>
      <c r="F46" s="61" t="str">
        <f t="shared" si="0"/>
        <v>借</v>
      </c>
      <c r="G46" s="64">
        <f>SUM(D$6:E46)</f>
        <v>2394442</v>
      </c>
      <c r="H46" s="61"/>
      <c r="I46" s="61" t="s">
        <v>1596</v>
      </c>
      <c r="J46" s="61" t="s">
        <v>114</v>
      </c>
      <c r="K46" s="64">
        <v>3004</v>
      </c>
      <c r="L46" s="61"/>
      <c r="M46" s="65" t="s">
        <v>353</v>
      </c>
      <c r="N46" s="61"/>
      <c r="O46" s="61"/>
      <c r="P46" s="61"/>
      <c r="Q46" s="61"/>
      <c r="R46" s="61">
        <v>537475</v>
      </c>
      <c r="S46" s="66" t="s">
        <v>843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314</v>
      </c>
      <c r="B47" s="62">
        <v>46059</v>
      </c>
      <c r="C47" s="63" t="s">
        <v>1597</v>
      </c>
      <c r="D47" s="67">
        <v>5000</v>
      </c>
      <c r="E47" s="67"/>
      <c r="F47" s="61" t="str">
        <f t="shared" si="0"/>
        <v>借</v>
      </c>
      <c r="G47" s="64">
        <f>SUM(D$6:E47)</f>
        <v>2399442</v>
      </c>
      <c r="H47" s="61"/>
      <c r="I47" s="61" t="s">
        <v>1598</v>
      </c>
      <c r="J47" s="61" t="s">
        <v>114</v>
      </c>
      <c r="K47" s="64">
        <v>5000</v>
      </c>
      <c r="L47" s="61"/>
      <c r="M47" s="65" t="s">
        <v>279</v>
      </c>
      <c r="N47" s="61"/>
      <c r="O47" s="61"/>
      <c r="P47" s="61"/>
      <c r="Q47" s="61"/>
      <c r="R47" s="61">
        <v>537475</v>
      </c>
      <c r="S47" s="66" t="s">
        <v>843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314</v>
      </c>
      <c r="B48" s="62">
        <v>46059</v>
      </c>
      <c r="C48" s="63" t="s">
        <v>1599</v>
      </c>
      <c r="D48" s="67">
        <v>4000</v>
      </c>
      <c r="E48" s="67"/>
      <c r="F48" s="61" t="str">
        <f t="shared" si="0"/>
        <v>借</v>
      </c>
      <c r="G48" s="64">
        <f>SUM(D$6:E48)</f>
        <v>2403442</v>
      </c>
      <c r="H48" s="61"/>
      <c r="I48" s="61" t="s">
        <v>1600</v>
      </c>
      <c r="J48" s="61" t="s">
        <v>114</v>
      </c>
      <c r="K48" s="64">
        <v>4000</v>
      </c>
      <c r="L48" s="61"/>
      <c r="M48" s="65" t="s">
        <v>270</v>
      </c>
      <c r="N48" s="61"/>
      <c r="O48" s="61"/>
      <c r="P48" s="61"/>
      <c r="Q48" s="61"/>
      <c r="R48" s="61">
        <v>537475</v>
      </c>
      <c r="S48" s="66" t="s">
        <v>843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314</v>
      </c>
      <c r="B49" s="62">
        <v>46059</v>
      </c>
      <c r="C49" s="63" t="s">
        <v>1601</v>
      </c>
      <c r="D49" s="67">
        <v>38028</v>
      </c>
      <c r="E49" s="67"/>
      <c r="F49" s="61" t="str">
        <f t="shared" si="0"/>
        <v>借</v>
      </c>
      <c r="G49" s="64">
        <f>SUM(D$6:E49)</f>
        <v>2441470</v>
      </c>
      <c r="H49" s="61"/>
      <c r="I49" s="61" t="s">
        <v>1602</v>
      </c>
      <c r="J49" s="61" t="s">
        <v>114</v>
      </c>
      <c r="K49" s="64">
        <v>38028</v>
      </c>
      <c r="L49" s="61"/>
      <c r="M49" s="65" t="s">
        <v>288</v>
      </c>
      <c r="N49" s="61"/>
      <c r="O49" s="61"/>
      <c r="P49" s="61"/>
      <c r="Q49" s="61"/>
      <c r="R49" s="61">
        <v>537475</v>
      </c>
      <c r="S49" s="66" t="s">
        <v>843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314</v>
      </c>
      <c r="B50" s="62">
        <v>46059</v>
      </c>
      <c r="C50" s="63" t="s">
        <v>1603</v>
      </c>
      <c r="D50" s="67">
        <v>4000</v>
      </c>
      <c r="E50" s="67"/>
      <c r="F50" s="61" t="str">
        <f t="shared" si="0"/>
        <v>借</v>
      </c>
      <c r="G50" s="64">
        <f>SUM(D$6:E50)</f>
        <v>2445470</v>
      </c>
      <c r="H50" s="61"/>
      <c r="I50" s="61" t="s">
        <v>1604</v>
      </c>
      <c r="J50" s="61" t="s">
        <v>114</v>
      </c>
      <c r="K50" s="64">
        <v>4000</v>
      </c>
      <c r="L50" s="61"/>
      <c r="M50" s="65" t="s">
        <v>355</v>
      </c>
      <c r="N50" s="61"/>
      <c r="O50" s="61"/>
      <c r="P50" s="61"/>
      <c r="Q50" s="61"/>
      <c r="R50" s="61">
        <v>537475</v>
      </c>
      <c r="S50" s="66" t="s">
        <v>843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314</v>
      </c>
      <c r="B51" s="62">
        <v>46065</v>
      </c>
      <c r="C51" s="63" t="s">
        <v>1609</v>
      </c>
      <c r="D51" s="67">
        <v>10000</v>
      </c>
      <c r="E51" s="67"/>
      <c r="F51" s="61" t="str">
        <f t="shared" si="0"/>
        <v>借</v>
      </c>
      <c r="G51" s="64">
        <f>SUM(D$6:E51)</f>
        <v>2455470</v>
      </c>
      <c r="H51" s="61"/>
      <c r="I51" s="61" t="s">
        <v>1610</v>
      </c>
      <c r="J51" s="61" t="s">
        <v>114</v>
      </c>
      <c r="K51" s="64">
        <v>10000</v>
      </c>
      <c r="L51" s="61"/>
      <c r="M51" s="65" t="s">
        <v>1038</v>
      </c>
      <c r="N51" s="61"/>
      <c r="O51" s="61"/>
      <c r="P51" s="61"/>
      <c r="Q51" s="61"/>
      <c r="R51" s="61">
        <v>538540</v>
      </c>
      <c r="S51" s="66" t="s">
        <v>843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314</v>
      </c>
      <c r="B52" s="62">
        <v>46065</v>
      </c>
      <c r="C52" s="63" t="s">
        <v>1605</v>
      </c>
      <c r="D52" s="67">
        <v>33003</v>
      </c>
      <c r="E52" s="67"/>
      <c r="F52" s="61" t="str">
        <f t="shared" si="0"/>
        <v>借</v>
      </c>
      <c r="G52" s="64">
        <f>SUM(D$6:E52)</f>
        <v>2488473</v>
      </c>
      <c r="H52" s="61"/>
      <c r="I52" s="61" t="s">
        <v>1606</v>
      </c>
      <c r="J52" s="61" t="s">
        <v>114</v>
      </c>
      <c r="K52" s="64">
        <v>33003</v>
      </c>
      <c r="L52" s="61"/>
      <c r="M52" s="65" t="s">
        <v>358</v>
      </c>
      <c r="N52" s="61"/>
      <c r="O52" s="61"/>
      <c r="P52" s="61"/>
      <c r="Q52" s="61"/>
      <c r="R52" s="61">
        <v>538540</v>
      </c>
      <c r="S52" s="66" t="s">
        <v>843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314</v>
      </c>
      <c r="B53" s="62">
        <v>46065</v>
      </c>
      <c r="C53" s="63" t="s">
        <v>1611</v>
      </c>
      <c r="D53" s="67">
        <v>54000</v>
      </c>
      <c r="E53" s="67"/>
      <c r="F53" s="61" t="str">
        <f t="shared" si="0"/>
        <v>借</v>
      </c>
      <c r="G53" s="64">
        <f>SUM(D$6:E53)</f>
        <v>2542473</v>
      </c>
      <c r="H53" s="61"/>
      <c r="I53" s="61" t="s">
        <v>1612</v>
      </c>
      <c r="J53" s="61" t="s">
        <v>114</v>
      </c>
      <c r="K53" s="64">
        <v>54000</v>
      </c>
      <c r="L53" s="61"/>
      <c r="M53" s="65" t="s">
        <v>301</v>
      </c>
      <c r="N53" s="61"/>
      <c r="O53" s="61"/>
      <c r="P53" s="61"/>
      <c r="Q53" s="61"/>
      <c r="R53" s="61">
        <v>538540</v>
      </c>
      <c r="S53" s="66" t="s">
        <v>843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314</v>
      </c>
      <c r="B54" s="62">
        <v>46065</v>
      </c>
      <c r="C54" s="63" t="s">
        <v>1607</v>
      </c>
      <c r="D54" s="67">
        <v>5000</v>
      </c>
      <c r="E54" s="67"/>
      <c r="F54" s="61" t="str">
        <f t="shared" si="0"/>
        <v>借</v>
      </c>
      <c r="G54" s="64">
        <f>SUM(D$6:E54)</f>
        <v>2547473</v>
      </c>
      <c r="H54" s="61"/>
      <c r="I54" s="61" t="s">
        <v>1608</v>
      </c>
      <c r="J54" s="61" t="s">
        <v>114</v>
      </c>
      <c r="K54" s="64">
        <v>5000</v>
      </c>
      <c r="L54" s="61"/>
      <c r="M54" s="65" t="s">
        <v>1084</v>
      </c>
      <c r="N54" s="61"/>
      <c r="O54" s="61"/>
      <c r="P54" s="61"/>
      <c r="Q54" s="61"/>
      <c r="R54" s="61">
        <v>538540</v>
      </c>
      <c r="S54" s="66" t="s">
        <v>843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314</v>
      </c>
      <c r="B55" s="62">
        <v>46065</v>
      </c>
      <c r="C55" s="63" t="s">
        <v>1615</v>
      </c>
      <c r="D55" s="67">
        <v>33002</v>
      </c>
      <c r="E55" s="67"/>
      <c r="F55" s="61" t="str">
        <f t="shared" si="0"/>
        <v>借</v>
      </c>
      <c r="G55" s="64">
        <f>SUM(D$6:E55)</f>
        <v>2580475</v>
      </c>
      <c r="H55" s="61"/>
      <c r="I55" s="61" t="s">
        <v>1616</v>
      </c>
      <c r="J55" s="61" t="s">
        <v>114</v>
      </c>
      <c r="K55" s="64">
        <v>33002</v>
      </c>
      <c r="L55" s="61"/>
      <c r="M55" s="65" t="s">
        <v>298</v>
      </c>
      <c r="N55" s="61"/>
      <c r="O55" s="61"/>
      <c r="P55" s="61"/>
      <c r="Q55" s="61"/>
      <c r="R55" s="61">
        <v>538540</v>
      </c>
      <c r="S55" s="66" t="s">
        <v>843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314</v>
      </c>
      <c r="B56" s="62">
        <v>46065</v>
      </c>
      <c r="C56" s="63" t="s">
        <v>1613</v>
      </c>
      <c r="D56" s="67">
        <v>81005</v>
      </c>
      <c r="E56" s="67"/>
      <c r="F56" s="61" t="str">
        <f t="shared" si="0"/>
        <v>借</v>
      </c>
      <c r="G56" s="64">
        <f>SUM(D$6:E56)</f>
        <v>2661480</v>
      </c>
      <c r="H56" s="61"/>
      <c r="I56" s="61" t="s">
        <v>1614</v>
      </c>
      <c r="J56" s="61" t="s">
        <v>114</v>
      </c>
      <c r="K56" s="64">
        <v>81005</v>
      </c>
      <c r="L56" s="61"/>
      <c r="M56" s="65" t="s">
        <v>356</v>
      </c>
      <c r="N56" s="61"/>
      <c r="O56" s="61"/>
      <c r="P56" s="61"/>
      <c r="Q56" s="61"/>
      <c r="R56" s="61">
        <v>538540</v>
      </c>
      <c r="S56" s="66" t="s">
        <v>843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314</v>
      </c>
      <c r="B57" s="62">
        <v>46065</v>
      </c>
      <c r="C57" s="63" t="s">
        <v>1623</v>
      </c>
      <c r="D57" s="67">
        <v>97038</v>
      </c>
      <c r="E57" s="67"/>
      <c r="F57" s="61" t="str">
        <f t="shared" si="0"/>
        <v>借</v>
      </c>
      <c r="G57" s="64">
        <f>SUM(D$6:E57)</f>
        <v>2758518</v>
      </c>
      <c r="H57" s="61"/>
      <c r="I57" s="61" t="s">
        <v>1624</v>
      </c>
      <c r="J57" s="61" t="s">
        <v>114</v>
      </c>
      <c r="K57" s="64">
        <v>97038</v>
      </c>
      <c r="L57" s="61"/>
      <c r="M57" s="65" t="s">
        <v>266</v>
      </c>
      <c r="N57" s="61"/>
      <c r="O57" s="61"/>
      <c r="P57" s="61"/>
      <c r="Q57" s="61"/>
      <c r="R57" s="61">
        <v>538540</v>
      </c>
      <c r="S57" s="66" t="s">
        <v>843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314</v>
      </c>
      <c r="B58" s="62">
        <v>46065</v>
      </c>
      <c r="C58" s="63" t="s">
        <v>1617</v>
      </c>
      <c r="D58" s="67">
        <v>2512</v>
      </c>
      <c r="E58" s="67"/>
      <c r="F58" s="61" t="str">
        <f t="shared" si="0"/>
        <v>借</v>
      </c>
      <c r="G58" s="64">
        <f>SUM(D$6:E58)</f>
        <v>2761030</v>
      </c>
      <c r="H58" s="61"/>
      <c r="I58" s="61" t="s">
        <v>1618</v>
      </c>
      <c r="J58" s="61" t="s">
        <v>114</v>
      </c>
      <c r="K58" s="64">
        <v>2512</v>
      </c>
      <c r="L58" s="61"/>
      <c r="M58" s="65" t="s">
        <v>1475</v>
      </c>
      <c r="N58" s="61"/>
      <c r="O58" s="61"/>
      <c r="P58" s="61"/>
      <c r="Q58" s="61"/>
      <c r="R58" s="61">
        <v>538540</v>
      </c>
      <c r="S58" s="66" t="s">
        <v>843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314</v>
      </c>
      <c r="B59" s="62">
        <v>46065</v>
      </c>
      <c r="C59" s="63" t="s">
        <v>1634</v>
      </c>
      <c r="D59" s="67">
        <v>10500</v>
      </c>
      <c r="E59" s="67"/>
      <c r="F59" s="61" t="str">
        <f t="shared" si="0"/>
        <v>借</v>
      </c>
      <c r="G59" s="64">
        <f>SUM(D$6:E59)</f>
        <v>2771530</v>
      </c>
      <c r="H59" s="61"/>
      <c r="I59" s="61" t="s">
        <v>1635</v>
      </c>
      <c r="J59" s="61" t="s">
        <v>114</v>
      </c>
      <c r="K59" s="64">
        <v>10500</v>
      </c>
      <c r="L59" s="61"/>
      <c r="M59" s="65" t="s">
        <v>978</v>
      </c>
      <c r="N59" s="61"/>
      <c r="O59" s="61"/>
      <c r="P59" s="61"/>
      <c r="Q59" s="61"/>
      <c r="R59" s="61">
        <v>538540</v>
      </c>
      <c r="S59" s="66" t="s">
        <v>843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314</v>
      </c>
      <c r="B60" s="62">
        <v>46065</v>
      </c>
      <c r="C60" s="63" t="s">
        <v>1621</v>
      </c>
      <c r="D60" s="67">
        <v>53520</v>
      </c>
      <c r="E60" s="67"/>
      <c r="F60" s="61" t="str">
        <f t="shared" si="0"/>
        <v>借</v>
      </c>
      <c r="G60" s="64">
        <f>SUM(D$6:E60)</f>
        <v>2825050</v>
      </c>
      <c r="H60" s="61"/>
      <c r="I60" s="61" t="s">
        <v>1622</v>
      </c>
      <c r="J60" s="61" t="s">
        <v>114</v>
      </c>
      <c r="K60" s="64">
        <v>53520</v>
      </c>
      <c r="L60" s="61"/>
      <c r="M60" s="65" t="s">
        <v>359</v>
      </c>
      <c r="N60" s="61"/>
      <c r="O60" s="61"/>
      <c r="P60" s="61"/>
      <c r="Q60" s="61"/>
      <c r="R60" s="61">
        <v>538540</v>
      </c>
      <c r="S60" s="66" t="s">
        <v>843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314</v>
      </c>
      <c r="B61" s="62">
        <v>46065</v>
      </c>
      <c r="C61" s="63" t="s">
        <v>1647</v>
      </c>
      <c r="D61" s="67">
        <v>6000</v>
      </c>
      <c r="E61" s="67"/>
      <c r="F61" s="61" t="str">
        <f t="shared" si="0"/>
        <v>借</v>
      </c>
      <c r="G61" s="64">
        <f>SUM(D$6:E61)</f>
        <v>2831050</v>
      </c>
      <c r="H61" s="61"/>
      <c r="I61" s="61" t="s">
        <v>1648</v>
      </c>
      <c r="J61" s="61" t="s">
        <v>114</v>
      </c>
      <c r="K61" s="64">
        <v>6000</v>
      </c>
      <c r="L61" s="61"/>
      <c r="M61" s="65" t="s">
        <v>1649</v>
      </c>
      <c r="N61" s="61"/>
      <c r="O61" s="61"/>
      <c r="P61" s="61"/>
      <c r="Q61" s="61"/>
      <c r="R61" s="61">
        <v>538540</v>
      </c>
      <c r="S61" s="66" t="s">
        <v>843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314</v>
      </c>
      <c r="B62" s="62">
        <v>46065</v>
      </c>
      <c r="C62" s="63" t="s">
        <v>1625</v>
      </c>
      <c r="D62" s="67">
        <v>84018</v>
      </c>
      <c r="E62" s="67"/>
      <c r="F62" s="61" t="str">
        <f t="shared" si="0"/>
        <v>借</v>
      </c>
      <c r="G62" s="64">
        <f>SUM(D$6:E62)</f>
        <v>2915068</v>
      </c>
      <c r="H62" s="61"/>
      <c r="I62" s="61" t="s">
        <v>1626</v>
      </c>
      <c r="J62" s="61" t="s">
        <v>114</v>
      </c>
      <c r="K62" s="64">
        <v>84018</v>
      </c>
      <c r="L62" s="61"/>
      <c r="M62" s="65" t="s">
        <v>303</v>
      </c>
      <c r="N62" s="61"/>
      <c r="O62" s="61"/>
      <c r="P62" s="61"/>
      <c r="Q62" s="61"/>
      <c r="R62" s="61">
        <v>538540</v>
      </c>
      <c r="S62" s="66" t="s">
        <v>843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314</v>
      </c>
      <c r="B63" s="62">
        <v>46065</v>
      </c>
      <c r="C63" s="63" t="s">
        <v>1653</v>
      </c>
      <c r="D63" s="67">
        <v>8000</v>
      </c>
      <c r="E63" s="67"/>
      <c r="F63" s="61" t="str">
        <f t="shared" si="0"/>
        <v>借</v>
      </c>
      <c r="G63" s="64">
        <f>SUM(D$6:E63)</f>
        <v>2923068</v>
      </c>
      <c r="H63" s="61"/>
      <c r="I63" s="61" t="s">
        <v>1654</v>
      </c>
      <c r="J63" s="61" t="s">
        <v>114</v>
      </c>
      <c r="K63" s="64">
        <v>8000</v>
      </c>
      <c r="L63" s="61"/>
      <c r="M63" s="65" t="s">
        <v>391</v>
      </c>
      <c r="N63" s="61"/>
      <c r="O63" s="61"/>
      <c r="P63" s="61"/>
      <c r="Q63" s="61"/>
      <c r="R63" s="61">
        <v>538540</v>
      </c>
      <c r="S63" s="66" t="s">
        <v>843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314</v>
      </c>
      <c r="B64" s="62">
        <v>46065</v>
      </c>
      <c r="C64" s="63" t="s">
        <v>1627</v>
      </c>
      <c r="D64" s="67">
        <v>19500</v>
      </c>
      <c r="E64" s="67"/>
      <c r="F64" s="61" t="str">
        <f t="shared" si="0"/>
        <v>借</v>
      </c>
      <c r="G64" s="64">
        <f>SUM(D$6:E64)</f>
        <v>2942568</v>
      </c>
      <c r="H64" s="61"/>
      <c r="I64" s="61" t="s">
        <v>1628</v>
      </c>
      <c r="J64" s="61" t="s">
        <v>114</v>
      </c>
      <c r="K64" s="64">
        <v>19500</v>
      </c>
      <c r="L64" s="61"/>
      <c r="M64" s="65" t="s">
        <v>360</v>
      </c>
      <c r="N64" s="61"/>
      <c r="O64" s="61"/>
      <c r="P64" s="61"/>
      <c r="Q64" s="61"/>
      <c r="R64" s="61">
        <v>538540</v>
      </c>
      <c r="S64" s="66" t="s">
        <v>843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314</v>
      </c>
      <c r="B65" s="62">
        <v>46065</v>
      </c>
      <c r="C65" s="63" t="s">
        <v>1663</v>
      </c>
      <c r="D65" s="67">
        <v>5000</v>
      </c>
      <c r="E65" s="67"/>
      <c r="F65" s="61" t="str">
        <f t="shared" si="0"/>
        <v>借</v>
      </c>
      <c r="G65" s="64">
        <f>SUM(D$6:E65)</f>
        <v>2947568</v>
      </c>
      <c r="H65" s="61"/>
      <c r="I65" s="61" t="s">
        <v>1664</v>
      </c>
      <c r="J65" s="61" t="s">
        <v>114</v>
      </c>
      <c r="K65" s="64">
        <v>5000</v>
      </c>
      <c r="L65" s="61"/>
      <c r="M65" s="65" t="s">
        <v>326</v>
      </c>
      <c r="N65" s="61"/>
      <c r="O65" s="61"/>
      <c r="P65" s="61"/>
      <c r="Q65" s="61"/>
      <c r="R65" s="61">
        <v>538540</v>
      </c>
      <c r="S65" s="66" t="s">
        <v>843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314</v>
      </c>
      <c r="B66" s="62">
        <v>46065</v>
      </c>
      <c r="C66" s="63" t="s">
        <v>1629</v>
      </c>
      <c r="D66" s="67">
        <v>30135</v>
      </c>
      <c r="E66" s="67"/>
      <c r="F66" s="61" t="str">
        <f t="shared" si="0"/>
        <v>借</v>
      </c>
      <c r="G66" s="64">
        <f>SUM(D$6:E66)</f>
        <v>2977703</v>
      </c>
      <c r="H66" s="61"/>
      <c r="I66" s="61" t="s">
        <v>1630</v>
      </c>
      <c r="J66" s="61" t="s">
        <v>114</v>
      </c>
      <c r="K66" s="64">
        <v>30135</v>
      </c>
      <c r="L66" s="61"/>
      <c r="M66" s="65" t="s">
        <v>291</v>
      </c>
      <c r="N66" s="61"/>
      <c r="O66" s="61"/>
      <c r="P66" s="61"/>
      <c r="Q66" s="61"/>
      <c r="R66" s="61">
        <v>538540</v>
      </c>
      <c r="S66" s="66" t="s">
        <v>843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314</v>
      </c>
      <c r="B67" s="62">
        <v>46065</v>
      </c>
      <c r="C67" s="63" t="s">
        <v>1669</v>
      </c>
      <c r="D67" s="67">
        <v>3000</v>
      </c>
      <c r="E67" s="67"/>
      <c r="F67" s="61" t="str">
        <f t="shared" si="0"/>
        <v>借</v>
      </c>
      <c r="G67" s="64">
        <f>SUM(D$6:E67)</f>
        <v>2980703</v>
      </c>
      <c r="H67" s="61"/>
      <c r="I67" s="61" t="s">
        <v>1670</v>
      </c>
      <c r="J67" s="61" t="s">
        <v>114</v>
      </c>
      <c r="K67" s="64">
        <v>3000</v>
      </c>
      <c r="L67" s="61"/>
      <c r="M67" s="65" t="s">
        <v>1671</v>
      </c>
      <c r="N67" s="61"/>
      <c r="O67" s="61"/>
      <c r="P67" s="61"/>
      <c r="Q67" s="61"/>
      <c r="R67" s="61">
        <v>538540</v>
      </c>
      <c r="S67" s="66" t="s">
        <v>843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314</v>
      </c>
      <c r="B68" s="62">
        <v>46065</v>
      </c>
      <c r="C68" s="63" t="s">
        <v>1631</v>
      </c>
      <c r="D68" s="67">
        <v>39012</v>
      </c>
      <c r="E68" s="67"/>
      <c r="F68" s="61" t="str">
        <f t="shared" si="0"/>
        <v>借</v>
      </c>
      <c r="G68" s="64">
        <f>SUM(D$6:E68)</f>
        <v>3019715</v>
      </c>
      <c r="H68" s="61"/>
      <c r="I68" s="61" t="s">
        <v>1632</v>
      </c>
      <c r="J68" s="61" t="s">
        <v>114</v>
      </c>
      <c r="K68" s="64">
        <v>39012</v>
      </c>
      <c r="L68" s="61"/>
      <c r="M68" s="65" t="s">
        <v>362</v>
      </c>
      <c r="N68" s="61"/>
      <c r="O68" s="61"/>
      <c r="P68" s="61"/>
      <c r="Q68" s="61"/>
      <c r="R68" s="61">
        <v>538540</v>
      </c>
      <c r="S68" s="66" t="s">
        <v>843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314</v>
      </c>
      <c r="B69" s="62">
        <v>46065</v>
      </c>
      <c r="C69" s="63" t="s">
        <v>1672</v>
      </c>
      <c r="D69" s="67">
        <v>3500</v>
      </c>
      <c r="E69" s="67"/>
      <c r="F69" s="61" t="str">
        <f t="shared" si="0"/>
        <v>借</v>
      </c>
      <c r="G69" s="64">
        <f>SUM(D$6:E69)</f>
        <v>3023215</v>
      </c>
      <c r="H69" s="61"/>
      <c r="I69" s="61" t="s">
        <v>1673</v>
      </c>
      <c r="J69" s="61" t="s">
        <v>114</v>
      </c>
      <c r="K69" s="64">
        <v>3500</v>
      </c>
      <c r="L69" s="61"/>
      <c r="M69" s="65" t="s">
        <v>933</v>
      </c>
      <c r="N69" s="61"/>
      <c r="O69" s="61"/>
      <c r="P69" s="61"/>
      <c r="Q69" s="61"/>
      <c r="R69" s="61">
        <v>538540</v>
      </c>
      <c r="S69" s="66" t="s">
        <v>843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314</v>
      </c>
      <c r="B70" s="62">
        <v>46065</v>
      </c>
      <c r="C70" s="63" t="s">
        <v>1637</v>
      </c>
      <c r="D70" s="67">
        <v>24865</v>
      </c>
      <c r="E70" s="67"/>
      <c r="F70" s="61" t="str">
        <f t="shared" si="0"/>
        <v>借</v>
      </c>
      <c r="G70" s="64">
        <f>SUM(D$6:E70)</f>
        <v>3048080</v>
      </c>
      <c r="H70" s="61"/>
      <c r="I70" s="61" t="s">
        <v>1638</v>
      </c>
      <c r="J70" s="61" t="s">
        <v>114</v>
      </c>
      <c r="K70" s="64">
        <v>24865</v>
      </c>
      <c r="L70" s="61"/>
      <c r="M70" s="65" t="s">
        <v>1088</v>
      </c>
      <c r="N70" s="61"/>
      <c r="O70" s="61"/>
      <c r="P70" s="61"/>
      <c r="Q70" s="61"/>
      <c r="R70" s="61">
        <v>538540</v>
      </c>
      <c r="S70" s="66" t="s">
        <v>843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314</v>
      </c>
      <c r="B71" s="62">
        <v>46065</v>
      </c>
      <c r="C71" s="63" t="s">
        <v>1676</v>
      </c>
      <c r="D71" s="67">
        <v>65000</v>
      </c>
      <c r="E71" s="67"/>
      <c r="F71" s="61" t="str">
        <f t="shared" ref="F71:F134" si="1">IF(G71&gt;0,"借","貸")</f>
        <v>借</v>
      </c>
      <c r="G71" s="64">
        <f>SUM(D$6:E71)</f>
        <v>3113080</v>
      </c>
      <c r="H71" s="61"/>
      <c r="I71" s="61" t="s">
        <v>1677</v>
      </c>
      <c r="J71" s="61" t="s">
        <v>114</v>
      </c>
      <c r="K71" s="64">
        <v>65000</v>
      </c>
      <c r="L71" s="61"/>
      <c r="M71" s="65" t="s">
        <v>267</v>
      </c>
      <c r="N71" s="61"/>
      <c r="O71" s="61"/>
      <c r="P71" s="61"/>
      <c r="Q71" s="61"/>
      <c r="R71" s="61">
        <v>538540</v>
      </c>
      <c r="S71" s="66" t="s">
        <v>843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314</v>
      </c>
      <c r="B72" s="62">
        <v>46065</v>
      </c>
      <c r="C72" s="63" t="s">
        <v>1642</v>
      </c>
      <c r="D72" s="67">
        <v>45500</v>
      </c>
      <c r="E72" s="67"/>
      <c r="F72" s="61" t="str">
        <f t="shared" si="1"/>
        <v>借</v>
      </c>
      <c r="G72" s="64">
        <f>SUM(D$6:E72)</f>
        <v>3158580</v>
      </c>
      <c r="H72" s="61"/>
      <c r="I72" s="61" t="s">
        <v>1643</v>
      </c>
      <c r="J72" s="61" t="s">
        <v>114</v>
      </c>
      <c r="K72" s="64">
        <v>45500</v>
      </c>
      <c r="L72" s="61"/>
      <c r="M72" s="65" t="s">
        <v>300</v>
      </c>
      <c r="N72" s="61"/>
      <c r="O72" s="61"/>
      <c r="P72" s="61"/>
      <c r="Q72" s="61"/>
      <c r="R72" s="61">
        <v>538540</v>
      </c>
      <c r="S72" s="66" t="s">
        <v>843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314</v>
      </c>
      <c r="B73" s="62">
        <v>46065</v>
      </c>
      <c r="C73" s="63" t="s">
        <v>1678</v>
      </c>
      <c r="D73" s="67">
        <v>3000</v>
      </c>
      <c r="E73" s="67"/>
      <c r="F73" s="61" t="str">
        <f t="shared" si="1"/>
        <v>借</v>
      </c>
      <c r="G73" s="64">
        <f>SUM(D$6:E73)</f>
        <v>3161580</v>
      </c>
      <c r="H73" s="61"/>
      <c r="I73" s="61" t="s">
        <v>1679</v>
      </c>
      <c r="J73" s="61" t="s">
        <v>114</v>
      </c>
      <c r="K73" s="64">
        <v>3000</v>
      </c>
      <c r="L73" s="61"/>
      <c r="M73" s="65" t="s">
        <v>328</v>
      </c>
      <c r="N73" s="61"/>
      <c r="O73" s="61"/>
      <c r="P73" s="61"/>
      <c r="Q73" s="61"/>
      <c r="R73" s="61">
        <v>538540</v>
      </c>
      <c r="S73" s="66" t="s">
        <v>843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314</v>
      </c>
      <c r="B74" s="62">
        <v>46065</v>
      </c>
      <c r="C74" s="63" t="s">
        <v>1651</v>
      </c>
      <c r="D74" s="67">
        <v>38107</v>
      </c>
      <c r="E74" s="67"/>
      <c r="F74" s="61" t="str">
        <f t="shared" si="1"/>
        <v>借</v>
      </c>
      <c r="G74" s="64">
        <f>SUM(D$6:E74)</f>
        <v>3199687</v>
      </c>
      <c r="H74" s="61"/>
      <c r="I74" s="61" t="s">
        <v>1652</v>
      </c>
      <c r="J74" s="61" t="s">
        <v>114</v>
      </c>
      <c r="K74" s="64">
        <v>38107</v>
      </c>
      <c r="L74" s="61"/>
      <c r="M74" s="65" t="s">
        <v>365</v>
      </c>
      <c r="N74" s="61"/>
      <c r="O74" s="61"/>
      <c r="P74" s="61"/>
      <c r="Q74" s="61"/>
      <c r="R74" s="61">
        <v>538540</v>
      </c>
      <c r="S74" s="66" t="s">
        <v>843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314</v>
      </c>
      <c r="B75" s="62">
        <v>46065</v>
      </c>
      <c r="C75" s="63" t="s">
        <v>1680</v>
      </c>
      <c r="D75" s="67">
        <v>2000</v>
      </c>
      <c r="E75" s="67"/>
      <c r="F75" s="61" t="str">
        <f t="shared" si="1"/>
        <v>借</v>
      </c>
      <c r="G75" s="64">
        <f>SUM(D$6:E75)</f>
        <v>3201687</v>
      </c>
      <c r="H75" s="61"/>
      <c r="I75" s="61" t="s">
        <v>1681</v>
      </c>
      <c r="J75" s="61" t="s">
        <v>114</v>
      </c>
      <c r="K75" s="64">
        <v>2000</v>
      </c>
      <c r="L75" s="61"/>
      <c r="M75" s="65" t="s">
        <v>374</v>
      </c>
      <c r="N75" s="61"/>
      <c r="O75" s="61"/>
      <c r="P75" s="61"/>
      <c r="Q75" s="61"/>
      <c r="R75" s="61">
        <v>538540</v>
      </c>
      <c r="S75" s="66" t="s">
        <v>843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314</v>
      </c>
      <c r="B76" s="62">
        <v>46065</v>
      </c>
      <c r="C76" s="63" t="s">
        <v>1655</v>
      </c>
      <c r="D76" s="67">
        <v>4130</v>
      </c>
      <c r="E76" s="67"/>
      <c r="F76" s="61" t="str">
        <f t="shared" si="1"/>
        <v>借</v>
      </c>
      <c r="G76" s="64">
        <f>SUM(D$6:E76)</f>
        <v>3205817</v>
      </c>
      <c r="H76" s="61"/>
      <c r="I76" s="61" t="s">
        <v>1656</v>
      </c>
      <c r="J76" s="61" t="s">
        <v>114</v>
      </c>
      <c r="K76" s="64">
        <v>4130</v>
      </c>
      <c r="L76" s="61"/>
      <c r="M76" s="65" t="s">
        <v>272</v>
      </c>
      <c r="N76" s="61"/>
      <c r="O76" s="61"/>
      <c r="P76" s="61"/>
      <c r="Q76" s="61"/>
      <c r="R76" s="61">
        <v>538540</v>
      </c>
      <c r="S76" s="66" t="s">
        <v>843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61" t="s">
        <v>314</v>
      </c>
      <c r="B77" s="62">
        <v>46065</v>
      </c>
      <c r="C77" s="63" t="s">
        <v>1682</v>
      </c>
      <c r="D77" s="67">
        <v>6014</v>
      </c>
      <c r="E77" s="67"/>
      <c r="F77" s="61" t="str">
        <f t="shared" si="1"/>
        <v>借</v>
      </c>
      <c r="G77" s="64">
        <f>SUM(D$6:E77)</f>
        <v>3211831</v>
      </c>
      <c r="H77" s="61"/>
      <c r="I77" s="61" t="s">
        <v>1683</v>
      </c>
      <c r="J77" s="61" t="s">
        <v>114</v>
      </c>
      <c r="K77" s="64">
        <v>6014</v>
      </c>
      <c r="L77" s="61"/>
      <c r="M77" s="65" t="s">
        <v>273</v>
      </c>
      <c r="N77" s="61"/>
      <c r="O77" s="61"/>
      <c r="P77" s="61"/>
      <c r="Q77" s="61"/>
      <c r="R77" s="61">
        <v>538540</v>
      </c>
      <c r="S77" s="66" t="s">
        <v>843</v>
      </c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61" t="s">
        <v>314</v>
      </c>
      <c r="B78" s="62">
        <v>46065</v>
      </c>
      <c r="C78" s="63" t="s">
        <v>1658</v>
      </c>
      <c r="D78" s="67">
        <v>6000</v>
      </c>
      <c r="E78" s="67"/>
      <c r="F78" s="61" t="str">
        <f t="shared" si="1"/>
        <v>借</v>
      </c>
      <c r="G78" s="64">
        <f>SUM(D$6:E78)</f>
        <v>3217831</v>
      </c>
      <c r="H78" s="61"/>
      <c r="I78" s="61" t="s">
        <v>1659</v>
      </c>
      <c r="J78" s="61" t="s">
        <v>114</v>
      </c>
      <c r="K78" s="64">
        <v>6000</v>
      </c>
      <c r="L78" s="61"/>
      <c r="M78" s="65" t="s">
        <v>280</v>
      </c>
      <c r="N78" s="61"/>
      <c r="O78" s="61"/>
      <c r="P78" s="61"/>
      <c r="Q78" s="61"/>
      <c r="R78" s="61">
        <v>538540</v>
      </c>
      <c r="S78" s="66" t="s">
        <v>843</v>
      </c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61" t="s">
        <v>314</v>
      </c>
      <c r="B79" s="62">
        <v>46065</v>
      </c>
      <c r="C79" s="63" t="s">
        <v>1684</v>
      </c>
      <c r="D79" s="67">
        <v>30800</v>
      </c>
      <c r="E79" s="67"/>
      <c r="F79" s="61" t="str">
        <f t="shared" si="1"/>
        <v>借</v>
      </c>
      <c r="G79" s="64">
        <f>SUM(D$6:E79)</f>
        <v>3248631</v>
      </c>
      <c r="H79" s="61"/>
      <c r="I79" s="61" t="s">
        <v>1685</v>
      </c>
      <c r="J79" s="61" t="s">
        <v>114</v>
      </c>
      <c r="K79" s="64">
        <v>30800</v>
      </c>
      <c r="L79" s="61"/>
      <c r="M79" s="65" t="s">
        <v>1474</v>
      </c>
      <c r="N79" s="61"/>
      <c r="O79" s="61"/>
      <c r="P79" s="61"/>
      <c r="Q79" s="61"/>
      <c r="R79" s="61">
        <v>538540</v>
      </c>
      <c r="S79" s="66" t="s">
        <v>843</v>
      </c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 s="61" t="s">
        <v>314</v>
      </c>
      <c r="B80" s="62">
        <v>46065</v>
      </c>
      <c r="C80" s="63" t="s">
        <v>1660</v>
      </c>
      <c r="D80" s="67">
        <v>7500</v>
      </c>
      <c r="E80" s="67"/>
      <c r="F80" s="61" t="str">
        <f t="shared" si="1"/>
        <v>借</v>
      </c>
      <c r="G80" s="64">
        <f>SUM(D$6:E80)</f>
        <v>3256131</v>
      </c>
      <c r="H80" s="61"/>
      <c r="I80" s="61" t="s">
        <v>1661</v>
      </c>
      <c r="J80" s="61" t="s">
        <v>114</v>
      </c>
      <c r="K80" s="64">
        <v>7500</v>
      </c>
      <c r="L80" s="61"/>
      <c r="M80" s="65" t="s">
        <v>327</v>
      </c>
      <c r="N80" s="61"/>
      <c r="O80" s="61"/>
      <c r="P80" s="61"/>
      <c r="Q80" s="61"/>
      <c r="R80" s="61">
        <v>538540</v>
      </c>
      <c r="S80" s="66" t="s">
        <v>843</v>
      </c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 s="61" t="s">
        <v>314</v>
      </c>
      <c r="B81" s="62">
        <v>46065</v>
      </c>
      <c r="C81" s="63" t="s">
        <v>1686</v>
      </c>
      <c r="D81" s="67">
        <v>29000</v>
      </c>
      <c r="E81" s="67"/>
      <c r="F81" s="61" t="str">
        <f t="shared" si="1"/>
        <v>借</v>
      </c>
      <c r="G81" s="64">
        <f>SUM(D$6:E81)</f>
        <v>3285131</v>
      </c>
      <c r="H81" s="61"/>
      <c r="I81" s="61" t="s">
        <v>1687</v>
      </c>
      <c r="J81" s="61" t="s">
        <v>114</v>
      </c>
      <c r="K81" s="64">
        <v>29000</v>
      </c>
      <c r="L81" s="61"/>
      <c r="M81" s="65" t="s">
        <v>329</v>
      </c>
      <c r="N81" s="61"/>
      <c r="O81" s="61"/>
      <c r="P81" s="61"/>
      <c r="Q81" s="61"/>
      <c r="R81" s="61">
        <v>538540</v>
      </c>
      <c r="S81" s="66" t="s">
        <v>843</v>
      </c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 s="61" t="s">
        <v>314</v>
      </c>
      <c r="B82" s="62">
        <v>46065</v>
      </c>
      <c r="C82" s="63" t="s">
        <v>1665</v>
      </c>
      <c r="D82" s="67">
        <v>47200</v>
      </c>
      <c r="E82" s="67"/>
      <c r="F82" s="61" t="str">
        <f t="shared" si="1"/>
        <v>借</v>
      </c>
      <c r="G82" s="64">
        <f>SUM(D$6:E82)</f>
        <v>3332331</v>
      </c>
      <c r="H82" s="61"/>
      <c r="I82" s="61" t="s">
        <v>1666</v>
      </c>
      <c r="J82" s="61" t="s">
        <v>114</v>
      </c>
      <c r="K82" s="64">
        <v>47200</v>
      </c>
      <c r="L82" s="61"/>
      <c r="M82" s="65" t="s">
        <v>295</v>
      </c>
      <c r="N82" s="61"/>
      <c r="O82" s="61"/>
      <c r="P82" s="61"/>
      <c r="Q82" s="61"/>
      <c r="R82" s="61">
        <v>538540</v>
      </c>
      <c r="S82" s="66" t="s">
        <v>843</v>
      </c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 s="61" t="s">
        <v>314</v>
      </c>
      <c r="B83" s="62">
        <v>46065</v>
      </c>
      <c r="C83" s="63" t="s">
        <v>1689</v>
      </c>
      <c r="D83" s="67">
        <v>3000</v>
      </c>
      <c r="E83" s="67"/>
      <c r="F83" s="61" t="str">
        <f t="shared" si="1"/>
        <v>借</v>
      </c>
      <c r="G83" s="64">
        <f>SUM(D$6:E83)</f>
        <v>3335331</v>
      </c>
      <c r="H83" s="61"/>
      <c r="I83" s="61" t="s">
        <v>1690</v>
      </c>
      <c r="J83" s="61" t="s">
        <v>114</v>
      </c>
      <c r="K83" s="64">
        <v>3000</v>
      </c>
      <c r="L83" s="61"/>
      <c r="M83" s="65" t="s">
        <v>1107</v>
      </c>
      <c r="N83" s="61"/>
      <c r="O83" s="61"/>
      <c r="P83" s="61"/>
      <c r="Q83" s="61"/>
      <c r="R83" s="61">
        <v>538540</v>
      </c>
      <c r="S83" s="66" t="s">
        <v>843</v>
      </c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 s="61" t="s">
        <v>314</v>
      </c>
      <c r="B84" s="62">
        <v>46065</v>
      </c>
      <c r="C84" s="63" t="s">
        <v>1692</v>
      </c>
      <c r="D84" s="67">
        <v>14008</v>
      </c>
      <c r="E84" s="67"/>
      <c r="F84" s="61" t="str">
        <f t="shared" si="1"/>
        <v>借</v>
      </c>
      <c r="G84" s="64">
        <f>SUM(D$6:E84)</f>
        <v>3349339</v>
      </c>
      <c r="H84" s="61"/>
      <c r="I84" s="61" t="s">
        <v>1693</v>
      </c>
      <c r="J84" s="61" t="s">
        <v>114</v>
      </c>
      <c r="K84" s="64">
        <v>14008</v>
      </c>
      <c r="L84" s="61"/>
      <c r="M84" s="65" t="s">
        <v>1147</v>
      </c>
      <c r="N84" s="61"/>
      <c r="O84" s="61"/>
      <c r="P84" s="61"/>
      <c r="Q84" s="61"/>
      <c r="R84" s="61">
        <v>538540</v>
      </c>
      <c r="S84" s="66" t="s">
        <v>843</v>
      </c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 s="61" t="s">
        <v>314</v>
      </c>
      <c r="B85" s="62">
        <v>46065</v>
      </c>
      <c r="C85" s="63" t="s">
        <v>1694</v>
      </c>
      <c r="D85" s="67">
        <v>42500</v>
      </c>
      <c r="E85" s="67"/>
      <c r="F85" s="61" t="str">
        <f t="shared" si="1"/>
        <v>借</v>
      </c>
      <c r="G85" s="64">
        <f>SUM(D$6:E85)</f>
        <v>3391839</v>
      </c>
      <c r="H85" s="61"/>
      <c r="I85" s="61" t="s">
        <v>1695</v>
      </c>
      <c r="J85" s="61" t="s">
        <v>114</v>
      </c>
      <c r="K85" s="64">
        <v>42500</v>
      </c>
      <c r="L85" s="61"/>
      <c r="M85" s="65" t="s">
        <v>296</v>
      </c>
      <c r="N85" s="61"/>
      <c r="O85" s="61"/>
      <c r="P85" s="61"/>
      <c r="Q85" s="61"/>
      <c r="R85" s="61">
        <v>538540</v>
      </c>
      <c r="S85" s="66" t="s">
        <v>843</v>
      </c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 s="61" t="s">
        <v>314</v>
      </c>
      <c r="B86" s="62">
        <v>46065</v>
      </c>
      <c r="C86" s="63" t="s">
        <v>1696</v>
      </c>
      <c r="D86" s="67">
        <v>49000</v>
      </c>
      <c r="E86" s="67"/>
      <c r="F86" s="61" t="str">
        <f t="shared" si="1"/>
        <v>借</v>
      </c>
      <c r="G86" s="64">
        <f>SUM(D$6:E86)</f>
        <v>3440839</v>
      </c>
      <c r="H86" s="61"/>
      <c r="I86" s="61" t="s">
        <v>1697</v>
      </c>
      <c r="J86" s="61" t="s">
        <v>114</v>
      </c>
      <c r="K86" s="64">
        <v>49000</v>
      </c>
      <c r="L86" s="61"/>
      <c r="M86" s="65" t="s">
        <v>376</v>
      </c>
      <c r="N86" s="61"/>
      <c r="O86" s="61"/>
      <c r="P86" s="61"/>
      <c r="Q86" s="61"/>
      <c r="R86" s="61">
        <v>538540</v>
      </c>
      <c r="S86" s="66" t="s">
        <v>843</v>
      </c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 s="61" t="s">
        <v>314</v>
      </c>
      <c r="B87" s="62">
        <v>46065</v>
      </c>
      <c r="C87" s="63" t="s">
        <v>1698</v>
      </c>
      <c r="D87" s="67">
        <v>30000</v>
      </c>
      <c r="E87" s="67"/>
      <c r="F87" s="61" t="str">
        <f t="shared" si="1"/>
        <v>借</v>
      </c>
      <c r="G87" s="64">
        <f>SUM(D$6:E87)</f>
        <v>3470839</v>
      </c>
      <c r="H87" s="61"/>
      <c r="I87" s="61" t="s">
        <v>1699</v>
      </c>
      <c r="J87" s="61" t="s">
        <v>114</v>
      </c>
      <c r="K87" s="64">
        <v>30000</v>
      </c>
      <c r="L87" s="61"/>
      <c r="M87" s="65" t="s">
        <v>377</v>
      </c>
      <c r="N87" s="61"/>
      <c r="O87" s="61"/>
      <c r="P87" s="61"/>
      <c r="Q87" s="61"/>
      <c r="R87" s="61">
        <v>538540</v>
      </c>
      <c r="S87" s="66" t="s">
        <v>843</v>
      </c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 s="61" t="s">
        <v>314</v>
      </c>
      <c r="B88" s="62">
        <v>46065</v>
      </c>
      <c r="C88" s="63" t="s">
        <v>1701</v>
      </c>
      <c r="D88" s="67">
        <v>2000</v>
      </c>
      <c r="E88" s="67"/>
      <c r="F88" s="61" t="str">
        <f t="shared" si="1"/>
        <v>借</v>
      </c>
      <c r="G88" s="64">
        <f>SUM(D$6:E88)</f>
        <v>3472839</v>
      </c>
      <c r="H88" s="61"/>
      <c r="I88" s="61" t="s">
        <v>1702</v>
      </c>
      <c r="J88" s="61" t="s">
        <v>114</v>
      </c>
      <c r="K88" s="64">
        <v>2000</v>
      </c>
      <c r="L88" s="61"/>
      <c r="M88" s="65" t="s">
        <v>1703</v>
      </c>
      <c r="N88" s="61"/>
      <c r="O88" s="61"/>
      <c r="P88" s="61"/>
      <c r="Q88" s="61"/>
      <c r="R88" s="61">
        <v>538540</v>
      </c>
      <c r="S88" s="66" t="s">
        <v>843</v>
      </c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 s="61" t="s">
        <v>314</v>
      </c>
      <c r="B89" s="62">
        <v>46065</v>
      </c>
      <c r="C89" s="63" t="s">
        <v>1708</v>
      </c>
      <c r="D89" s="67">
        <v>3000</v>
      </c>
      <c r="E89" s="67"/>
      <c r="F89" s="61" t="str">
        <f t="shared" si="1"/>
        <v>借</v>
      </c>
      <c r="G89" s="64">
        <f>SUM(D$6:E89)</f>
        <v>3475839</v>
      </c>
      <c r="H89" s="61"/>
      <c r="I89" s="61" t="s">
        <v>1709</v>
      </c>
      <c r="J89" s="61" t="s">
        <v>114</v>
      </c>
      <c r="K89" s="64">
        <v>3000</v>
      </c>
      <c r="L89" s="61"/>
      <c r="M89" s="65" t="s">
        <v>381</v>
      </c>
      <c r="N89" s="61"/>
      <c r="O89" s="61"/>
      <c r="P89" s="61"/>
      <c r="Q89" s="61"/>
      <c r="R89" s="61">
        <v>538540</v>
      </c>
      <c r="S89" s="66" t="s">
        <v>843</v>
      </c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 s="61" t="s">
        <v>314</v>
      </c>
      <c r="B90" s="62">
        <v>46065</v>
      </c>
      <c r="C90" s="63" t="s">
        <v>1710</v>
      </c>
      <c r="D90" s="67">
        <v>3000</v>
      </c>
      <c r="E90" s="67"/>
      <c r="F90" s="61" t="str">
        <f t="shared" si="1"/>
        <v>借</v>
      </c>
      <c r="G90" s="64">
        <f>SUM(D$6:E90)</f>
        <v>3478839</v>
      </c>
      <c r="H90" s="61"/>
      <c r="I90" s="61" t="s">
        <v>1711</v>
      </c>
      <c r="J90" s="61" t="s">
        <v>114</v>
      </c>
      <c r="K90" s="64">
        <v>3000</v>
      </c>
      <c r="L90" s="61"/>
      <c r="M90" s="65" t="s">
        <v>382</v>
      </c>
      <c r="N90" s="61"/>
      <c r="O90" s="61"/>
      <c r="P90" s="61"/>
      <c r="Q90" s="61"/>
      <c r="R90" s="61">
        <v>538540</v>
      </c>
      <c r="S90" s="66" t="s">
        <v>843</v>
      </c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 s="61" t="s">
        <v>314</v>
      </c>
      <c r="B91" s="62">
        <v>46065</v>
      </c>
      <c r="C91" s="63" t="s">
        <v>1712</v>
      </c>
      <c r="D91" s="67">
        <v>61045</v>
      </c>
      <c r="E91" s="67"/>
      <c r="F91" s="61" t="str">
        <f t="shared" si="1"/>
        <v>借</v>
      </c>
      <c r="G91" s="64">
        <f>SUM(D$6:E91)</f>
        <v>3539884</v>
      </c>
      <c r="H91" s="61"/>
      <c r="I91" s="61" t="s">
        <v>1713</v>
      </c>
      <c r="J91" s="61" t="s">
        <v>114</v>
      </c>
      <c r="K91" s="64">
        <v>61045</v>
      </c>
      <c r="L91" s="61"/>
      <c r="M91" s="65" t="s">
        <v>1100</v>
      </c>
      <c r="N91" s="61"/>
      <c r="O91" s="61"/>
      <c r="P91" s="61"/>
      <c r="Q91" s="61"/>
      <c r="R91" s="61">
        <v>538540</v>
      </c>
      <c r="S91" s="66" t="s">
        <v>843</v>
      </c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 s="61" t="s">
        <v>314</v>
      </c>
      <c r="B92" s="62">
        <v>46065</v>
      </c>
      <c r="C92" s="63" t="s">
        <v>1715</v>
      </c>
      <c r="D92" s="67">
        <v>3000</v>
      </c>
      <c r="E92" s="67"/>
      <c r="F92" s="61" t="str">
        <f t="shared" si="1"/>
        <v>借</v>
      </c>
      <c r="G92" s="64">
        <f>SUM(D$6:E92)</f>
        <v>3542884</v>
      </c>
      <c r="H92" s="61"/>
      <c r="I92" s="61" t="s">
        <v>1716</v>
      </c>
      <c r="J92" s="61" t="s">
        <v>114</v>
      </c>
      <c r="K92" s="64">
        <v>3000</v>
      </c>
      <c r="L92" s="61"/>
      <c r="M92" s="65" t="s">
        <v>1717</v>
      </c>
      <c r="N92" s="61"/>
      <c r="O92" s="61"/>
      <c r="P92" s="61"/>
      <c r="Q92" s="61"/>
      <c r="R92" s="61">
        <v>538540</v>
      </c>
      <c r="S92" s="66" t="s">
        <v>843</v>
      </c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 s="61" t="s">
        <v>314</v>
      </c>
      <c r="B93" s="62">
        <v>46065</v>
      </c>
      <c r="C93" s="63" t="s">
        <v>1718</v>
      </c>
      <c r="D93" s="67">
        <v>21600</v>
      </c>
      <c r="E93" s="67"/>
      <c r="F93" s="61" t="str">
        <f t="shared" si="1"/>
        <v>借</v>
      </c>
      <c r="G93" s="64">
        <f>SUM(D$6:E93)</f>
        <v>3564484</v>
      </c>
      <c r="H93" s="61"/>
      <c r="I93" s="61" t="s">
        <v>1719</v>
      </c>
      <c r="J93" s="61" t="s">
        <v>114</v>
      </c>
      <c r="K93" s="64">
        <v>21600</v>
      </c>
      <c r="L93" s="61"/>
      <c r="M93" s="65" t="s">
        <v>320</v>
      </c>
      <c r="N93" s="61"/>
      <c r="O93" s="61"/>
      <c r="P93" s="61"/>
      <c r="Q93" s="61"/>
      <c r="R93" s="61">
        <v>538540</v>
      </c>
      <c r="S93" s="66" t="s">
        <v>843</v>
      </c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 s="61" t="s">
        <v>314</v>
      </c>
      <c r="B94" s="62">
        <v>46065</v>
      </c>
      <c r="C94" s="63" t="s">
        <v>1720</v>
      </c>
      <c r="D94" s="67">
        <v>3000</v>
      </c>
      <c r="E94" s="67"/>
      <c r="F94" s="61" t="str">
        <f t="shared" si="1"/>
        <v>借</v>
      </c>
      <c r="G94" s="64">
        <f>SUM(D$6:E94)</f>
        <v>3567484</v>
      </c>
      <c r="H94" s="61"/>
      <c r="I94" s="61" t="s">
        <v>1721</v>
      </c>
      <c r="J94" s="61" t="s">
        <v>114</v>
      </c>
      <c r="K94" s="64">
        <v>3000</v>
      </c>
      <c r="L94" s="61"/>
      <c r="M94" s="65" t="s">
        <v>330</v>
      </c>
      <c r="N94" s="61"/>
      <c r="O94" s="61"/>
      <c r="P94" s="61"/>
      <c r="Q94" s="61"/>
      <c r="R94" s="61">
        <v>538540</v>
      </c>
      <c r="S94" s="66" t="s">
        <v>843</v>
      </c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 s="61" t="s">
        <v>314</v>
      </c>
      <c r="B95" s="62">
        <v>46065</v>
      </c>
      <c r="C95" s="63" t="s">
        <v>1722</v>
      </c>
      <c r="D95" s="67">
        <v>3000</v>
      </c>
      <c r="E95" s="67"/>
      <c r="F95" s="61" t="str">
        <f t="shared" si="1"/>
        <v>借</v>
      </c>
      <c r="G95" s="64">
        <f>SUM(D$6:E95)</f>
        <v>3570484</v>
      </c>
      <c r="H95" s="61"/>
      <c r="I95" s="61" t="s">
        <v>1723</v>
      </c>
      <c r="J95" s="61" t="s">
        <v>114</v>
      </c>
      <c r="K95" s="64">
        <v>3000</v>
      </c>
      <c r="L95" s="61"/>
      <c r="M95" s="65" t="s">
        <v>1724</v>
      </c>
      <c r="N95" s="61"/>
      <c r="O95" s="61"/>
      <c r="P95" s="61"/>
      <c r="Q95" s="61"/>
      <c r="R95" s="61">
        <v>538540</v>
      </c>
      <c r="S95" s="66" t="s">
        <v>843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 s="61" t="s">
        <v>314</v>
      </c>
      <c r="B96" s="62">
        <v>46065</v>
      </c>
      <c r="C96" s="63" t="s">
        <v>1725</v>
      </c>
      <c r="D96" s="67">
        <v>30600</v>
      </c>
      <c r="E96" s="67"/>
      <c r="F96" s="61" t="str">
        <f t="shared" si="1"/>
        <v>借</v>
      </c>
      <c r="G96" s="64">
        <f>SUM(D$6:E96)</f>
        <v>3601084</v>
      </c>
      <c r="H96" s="61"/>
      <c r="I96" s="61" t="s">
        <v>1726</v>
      </c>
      <c r="J96" s="61" t="s">
        <v>114</v>
      </c>
      <c r="K96" s="64">
        <v>30600</v>
      </c>
      <c r="L96" s="61"/>
      <c r="M96" s="65" t="s">
        <v>385</v>
      </c>
      <c r="N96" s="61"/>
      <c r="O96" s="61"/>
      <c r="P96" s="61"/>
      <c r="Q96" s="61"/>
      <c r="R96" s="61">
        <v>538540</v>
      </c>
      <c r="S96" s="66" t="s">
        <v>843</v>
      </c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 s="61" t="s">
        <v>314</v>
      </c>
      <c r="B97" s="62">
        <v>46065</v>
      </c>
      <c r="C97" s="63" t="s">
        <v>1727</v>
      </c>
      <c r="D97" s="67">
        <v>5632</v>
      </c>
      <c r="E97" s="67"/>
      <c r="F97" s="61" t="str">
        <f t="shared" si="1"/>
        <v>借</v>
      </c>
      <c r="G97" s="64">
        <f>SUM(D$6:E97)</f>
        <v>3606716</v>
      </c>
      <c r="H97" s="61"/>
      <c r="I97" s="61" t="s">
        <v>1728</v>
      </c>
      <c r="J97" s="61" t="s">
        <v>114</v>
      </c>
      <c r="K97" s="64">
        <v>5632</v>
      </c>
      <c r="L97" s="61"/>
      <c r="M97" s="65" t="s">
        <v>1729</v>
      </c>
      <c r="N97" s="61"/>
      <c r="O97" s="61"/>
      <c r="P97" s="61"/>
      <c r="Q97" s="61"/>
      <c r="R97" s="61">
        <v>538540</v>
      </c>
      <c r="S97" s="66" t="s">
        <v>843</v>
      </c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 s="61" t="s">
        <v>314</v>
      </c>
      <c r="B98" s="62">
        <v>46065</v>
      </c>
      <c r="C98" s="63" t="s">
        <v>1730</v>
      </c>
      <c r="D98" s="67">
        <v>9024</v>
      </c>
      <c r="E98" s="67"/>
      <c r="F98" s="61" t="str">
        <f t="shared" si="1"/>
        <v>借</v>
      </c>
      <c r="G98" s="64">
        <f>SUM(D$6:E98)</f>
        <v>3615740</v>
      </c>
      <c r="H98" s="61"/>
      <c r="I98" s="61" t="s">
        <v>2052</v>
      </c>
      <c r="J98" s="61" t="s">
        <v>114</v>
      </c>
      <c r="K98" s="64">
        <v>9024</v>
      </c>
      <c r="L98" s="61"/>
      <c r="M98" s="65" t="s">
        <v>269</v>
      </c>
      <c r="N98" s="61"/>
      <c r="O98" s="61"/>
      <c r="P98" s="61"/>
      <c r="Q98" s="61"/>
      <c r="R98" s="61">
        <v>538540</v>
      </c>
      <c r="S98" s="66" t="s">
        <v>843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 s="61" t="s">
        <v>314</v>
      </c>
      <c r="B99" s="62">
        <v>46065</v>
      </c>
      <c r="C99" s="63" t="s">
        <v>1732</v>
      </c>
      <c r="D99" s="67">
        <v>5026</v>
      </c>
      <c r="E99" s="67"/>
      <c r="F99" s="61" t="str">
        <f t="shared" si="1"/>
        <v>借</v>
      </c>
      <c r="G99" s="64">
        <f>SUM(D$6:E99)</f>
        <v>3620766</v>
      </c>
      <c r="H99" s="61"/>
      <c r="I99" s="61" t="s">
        <v>1733</v>
      </c>
      <c r="J99" s="61" t="s">
        <v>114</v>
      </c>
      <c r="K99" s="64">
        <v>5026</v>
      </c>
      <c r="L99" s="61"/>
      <c r="M99" s="65" t="s">
        <v>1734</v>
      </c>
      <c r="N99" s="61"/>
      <c r="O99" s="61"/>
      <c r="P99" s="61"/>
      <c r="Q99" s="61"/>
      <c r="R99" s="61">
        <v>538540</v>
      </c>
      <c r="S99" s="66" t="s">
        <v>843</v>
      </c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 s="61" t="s">
        <v>314</v>
      </c>
      <c r="B100" s="62">
        <v>46065</v>
      </c>
      <c r="C100" s="63" t="s">
        <v>1735</v>
      </c>
      <c r="D100" s="67">
        <v>5068</v>
      </c>
      <c r="E100" s="67"/>
      <c r="F100" s="61" t="str">
        <f t="shared" si="1"/>
        <v>借</v>
      </c>
      <c r="G100" s="64">
        <f>SUM(D$6:E100)</f>
        <v>3625834</v>
      </c>
      <c r="H100" s="61"/>
      <c r="I100" s="61" t="s">
        <v>1736</v>
      </c>
      <c r="J100" s="61" t="s">
        <v>114</v>
      </c>
      <c r="K100" s="64">
        <v>5068</v>
      </c>
      <c r="L100" s="61"/>
      <c r="M100" s="65" t="s">
        <v>1087</v>
      </c>
      <c r="N100" s="61"/>
      <c r="O100" s="61"/>
      <c r="P100" s="61"/>
      <c r="Q100" s="61"/>
      <c r="R100" s="61">
        <v>538540</v>
      </c>
      <c r="S100" s="66" t="s">
        <v>843</v>
      </c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 s="61" t="s">
        <v>314</v>
      </c>
      <c r="B101" s="62">
        <v>46065</v>
      </c>
      <c r="C101" s="63" t="s">
        <v>1739</v>
      </c>
      <c r="D101" s="67">
        <v>3500</v>
      </c>
      <c r="E101" s="67"/>
      <c r="F101" s="61" t="str">
        <f t="shared" si="1"/>
        <v>借</v>
      </c>
      <c r="G101" s="64">
        <f>SUM(D$6:E101)</f>
        <v>3629334</v>
      </c>
      <c r="H101" s="61"/>
      <c r="I101" s="61" t="s">
        <v>1740</v>
      </c>
      <c r="J101" s="61" t="s">
        <v>114</v>
      </c>
      <c r="K101" s="64">
        <v>3500</v>
      </c>
      <c r="L101" s="61"/>
      <c r="M101" s="65" t="s">
        <v>387</v>
      </c>
      <c r="N101" s="61"/>
      <c r="O101" s="61"/>
      <c r="P101" s="61"/>
      <c r="Q101" s="61"/>
      <c r="R101" s="61">
        <v>538540</v>
      </c>
      <c r="S101" s="66" t="s">
        <v>843</v>
      </c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 s="61" t="s">
        <v>314</v>
      </c>
      <c r="B102" s="62">
        <v>46065</v>
      </c>
      <c r="C102" s="63" t="s">
        <v>1741</v>
      </c>
      <c r="D102" s="67">
        <v>51000</v>
      </c>
      <c r="E102" s="67"/>
      <c r="F102" s="61" t="str">
        <f t="shared" si="1"/>
        <v>借</v>
      </c>
      <c r="G102" s="64">
        <f>SUM(D$6:E102)</f>
        <v>3680334</v>
      </c>
      <c r="H102" s="61"/>
      <c r="I102" s="61" t="s">
        <v>1742</v>
      </c>
      <c r="J102" s="61" t="s">
        <v>114</v>
      </c>
      <c r="K102" s="64">
        <v>51000</v>
      </c>
      <c r="L102" s="61"/>
      <c r="M102" s="65" t="s">
        <v>331</v>
      </c>
      <c r="N102" s="61"/>
      <c r="O102" s="61"/>
      <c r="P102" s="61"/>
      <c r="Q102" s="61"/>
      <c r="R102" s="61">
        <v>538540</v>
      </c>
      <c r="S102" s="66" t="s">
        <v>843</v>
      </c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 s="61" t="s">
        <v>314</v>
      </c>
      <c r="B103" s="62">
        <v>46065</v>
      </c>
      <c r="C103" s="63" t="s">
        <v>1743</v>
      </c>
      <c r="D103" s="67">
        <v>2000</v>
      </c>
      <c r="E103" s="67"/>
      <c r="F103" s="61" t="str">
        <f t="shared" si="1"/>
        <v>借</v>
      </c>
      <c r="G103" s="64">
        <f>SUM(D$6:E103)</f>
        <v>3682334</v>
      </c>
      <c r="H103" s="61"/>
      <c r="I103" s="61" t="s">
        <v>1744</v>
      </c>
      <c r="J103" s="61" t="s">
        <v>114</v>
      </c>
      <c r="K103" s="64">
        <v>2000</v>
      </c>
      <c r="L103" s="61"/>
      <c r="M103" s="65" t="s">
        <v>1447</v>
      </c>
      <c r="N103" s="61"/>
      <c r="O103" s="61"/>
      <c r="P103" s="61"/>
      <c r="Q103" s="61"/>
      <c r="R103" s="61">
        <v>538540</v>
      </c>
      <c r="S103" s="66" t="s">
        <v>843</v>
      </c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 s="61" t="s">
        <v>314</v>
      </c>
      <c r="B104" s="62">
        <v>46065</v>
      </c>
      <c r="C104" s="63" t="s">
        <v>1746</v>
      </c>
      <c r="D104" s="67">
        <v>93000</v>
      </c>
      <c r="E104" s="67"/>
      <c r="F104" s="61" t="str">
        <f t="shared" si="1"/>
        <v>借</v>
      </c>
      <c r="G104" s="64">
        <f>SUM(D$6:E104)</f>
        <v>3775334</v>
      </c>
      <c r="H104" s="61"/>
      <c r="I104" s="61" t="s">
        <v>1747</v>
      </c>
      <c r="J104" s="61" t="s">
        <v>114</v>
      </c>
      <c r="K104" s="64">
        <v>93000</v>
      </c>
      <c r="L104" s="61"/>
      <c r="M104" s="65" t="s">
        <v>271</v>
      </c>
      <c r="N104" s="61"/>
      <c r="O104" s="61"/>
      <c r="P104" s="61"/>
      <c r="Q104" s="61"/>
      <c r="R104" s="61">
        <v>538540</v>
      </c>
      <c r="S104" s="66" t="s">
        <v>843</v>
      </c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 s="61" t="s">
        <v>314</v>
      </c>
      <c r="B105" s="62">
        <v>46065</v>
      </c>
      <c r="C105" s="63" t="s">
        <v>1748</v>
      </c>
      <c r="D105" s="67">
        <v>5000</v>
      </c>
      <c r="E105" s="67"/>
      <c r="F105" s="61" t="str">
        <f t="shared" si="1"/>
        <v>借</v>
      </c>
      <c r="G105" s="64">
        <f>SUM(D$6:E105)</f>
        <v>3780334</v>
      </c>
      <c r="H105" s="61"/>
      <c r="I105" s="61" t="s">
        <v>1749</v>
      </c>
      <c r="J105" s="61" t="s">
        <v>114</v>
      </c>
      <c r="K105" s="64">
        <v>5000</v>
      </c>
      <c r="L105" s="61"/>
      <c r="M105" s="65" t="s">
        <v>321</v>
      </c>
      <c r="N105" s="61"/>
      <c r="O105" s="61"/>
      <c r="P105" s="61"/>
      <c r="Q105" s="61"/>
      <c r="R105" s="61">
        <v>538540</v>
      </c>
      <c r="S105" s="66" t="s">
        <v>843</v>
      </c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 s="61" t="s">
        <v>314</v>
      </c>
      <c r="B106" s="62">
        <v>46079</v>
      </c>
      <c r="C106" s="63" t="s">
        <v>1750</v>
      </c>
      <c r="D106" s="67">
        <v>1118003</v>
      </c>
      <c r="E106" s="67"/>
      <c r="F106" s="61" t="str">
        <f t="shared" si="1"/>
        <v>借</v>
      </c>
      <c r="G106" s="64">
        <f>SUM(D$6:E106)</f>
        <v>4898337</v>
      </c>
      <c r="H106" s="61"/>
      <c r="I106" s="61" t="s">
        <v>1482</v>
      </c>
      <c r="J106" s="61" t="s">
        <v>114</v>
      </c>
      <c r="K106" s="64">
        <v>1118003</v>
      </c>
      <c r="L106" s="61"/>
      <c r="M106" s="65" t="s">
        <v>224</v>
      </c>
      <c r="N106" s="61"/>
      <c r="O106" s="61"/>
      <c r="P106" s="61"/>
      <c r="Q106" s="61"/>
      <c r="R106" s="61">
        <v>538823</v>
      </c>
      <c r="S106" s="66" t="s">
        <v>1478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 s="61" t="s">
        <v>314</v>
      </c>
      <c r="B107" s="62">
        <v>46084</v>
      </c>
      <c r="C107" s="63" t="s">
        <v>1833</v>
      </c>
      <c r="D107" s="67">
        <v>65666</v>
      </c>
      <c r="E107" s="67"/>
      <c r="F107" s="61" t="str">
        <f t="shared" si="1"/>
        <v>借</v>
      </c>
      <c r="G107" s="64">
        <f>SUM(D$6:E107)</f>
        <v>4964003</v>
      </c>
      <c r="H107" s="61"/>
      <c r="I107" s="61" t="s">
        <v>1834</v>
      </c>
      <c r="J107" s="61" t="s">
        <v>317</v>
      </c>
      <c r="K107" s="64">
        <v>14283.93</v>
      </c>
      <c r="L107" s="61"/>
      <c r="M107" s="65" t="s">
        <v>224</v>
      </c>
      <c r="N107" s="61"/>
      <c r="O107" s="61"/>
      <c r="P107" s="61"/>
      <c r="Q107" s="61"/>
      <c r="R107" s="61">
        <v>540803</v>
      </c>
      <c r="S107" s="66" t="s">
        <v>237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 s="61" t="s">
        <v>314</v>
      </c>
      <c r="B108" s="62">
        <v>46085</v>
      </c>
      <c r="C108" s="63" t="s">
        <v>1835</v>
      </c>
      <c r="D108" s="67">
        <v>47586</v>
      </c>
      <c r="E108" s="67"/>
      <c r="F108" s="61" t="str">
        <f t="shared" si="1"/>
        <v>借</v>
      </c>
      <c r="G108" s="64">
        <f>SUM(D$6:E108)</f>
        <v>5011589</v>
      </c>
      <c r="H108" s="61"/>
      <c r="I108" s="61" t="s">
        <v>1836</v>
      </c>
      <c r="J108" s="61" t="s">
        <v>337</v>
      </c>
      <c r="K108" s="64">
        <v>1283.03</v>
      </c>
      <c r="L108" s="61"/>
      <c r="M108" s="65" t="s">
        <v>224</v>
      </c>
      <c r="N108" s="61"/>
      <c r="O108" s="61"/>
      <c r="P108" s="61"/>
      <c r="Q108" s="61"/>
      <c r="R108" s="61">
        <v>540805</v>
      </c>
      <c r="S108" s="66" t="s">
        <v>237</v>
      </c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 s="61" t="s">
        <v>314</v>
      </c>
      <c r="B109" s="62">
        <v>46085</v>
      </c>
      <c r="C109" s="63" t="s">
        <v>1837</v>
      </c>
      <c r="D109" s="67">
        <v>32522</v>
      </c>
      <c r="E109" s="67"/>
      <c r="F109" s="61" t="str">
        <f t="shared" si="1"/>
        <v>借</v>
      </c>
      <c r="G109" s="64">
        <f>SUM(D$6:E109)</f>
        <v>5044111</v>
      </c>
      <c r="H109" s="61"/>
      <c r="I109" s="61" t="s">
        <v>1838</v>
      </c>
      <c r="J109" s="61" t="s">
        <v>337</v>
      </c>
      <c r="K109" s="64">
        <v>876.86</v>
      </c>
      <c r="L109" s="61"/>
      <c r="M109" s="65" t="s">
        <v>224</v>
      </c>
      <c r="N109" s="61"/>
      <c r="O109" s="61"/>
      <c r="P109" s="61"/>
      <c r="Q109" s="61"/>
      <c r="R109" s="61">
        <v>540805</v>
      </c>
      <c r="S109" s="66" t="s">
        <v>237</v>
      </c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 s="61" t="s">
        <v>314</v>
      </c>
      <c r="B110" s="62">
        <v>46086</v>
      </c>
      <c r="C110" s="63" t="s">
        <v>1844</v>
      </c>
      <c r="D110" s="67">
        <v>4822</v>
      </c>
      <c r="E110" s="67"/>
      <c r="F110" s="61" t="str">
        <f t="shared" si="1"/>
        <v>借</v>
      </c>
      <c r="G110" s="64">
        <f>SUM(D$6:E110)</f>
        <v>5048933</v>
      </c>
      <c r="H110" s="61"/>
      <c r="I110" s="61" t="s">
        <v>1845</v>
      </c>
      <c r="J110" s="61" t="s">
        <v>317</v>
      </c>
      <c r="K110" s="64">
        <v>1044.45</v>
      </c>
      <c r="L110" s="61"/>
      <c r="M110" s="65" t="s">
        <v>224</v>
      </c>
      <c r="N110" s="61"/>
      <c r="O110" s="61"/>
      <c r="P110" s="61"/>
      <c r="Q110" s="61"/>
      <c r="R110" s="61">
        <v>541079</v>
      </c>
      <c r="S110" s="66" t="s">
        <v>237</v>
      </c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 s="61" t="s">
        <v>314</v>
      </c>
      <c r="B111" s="62">
        <v>46086</v>
      </c>
      <c r="C111" s="63" t="s">
        <v>1846</v>
      </c>
      <c r="D111" s="67">
        <v>2426</v>
      </c>
      <c r="E111" s="67"/>
      <c r="F111" s="61" t="str">
        <f t="shared" si="1"/>
        <v>借</v>
      </c>
      <c r="G111" s="64">
        <f>SUM(D$6:E111)</f>
        <v>5051359</v>
      </c>
      <c r="H111" s="61"/>
      <c r="I111" s="61" t="s">
        <v>1847</v>
      </c>
      <c r="J111" s="61" t="s">
        <v>317</v>
      </c>
      <c r="K111" s="64">
        <v>525.42999999999995</v>
      </c>
      <c r="L111" s="61"/>
      <c r="M111" s="65" t="s">
        <v>224</v>
      </c>
      <c r="N111" s="61"/>
      <c r="O111" s="61"/>
      <c r="P111" s="61"/>
      <c r="Q111" s="61"/>
      <c r="R111" s="61">
        <v>541079</v>
      </c>
      <c r="S111" s="66" t="s">
        <v>237</v>
      </c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 s="61" t="s">
        <v>314</v>
      </c>
      <c r="B112" s="62">
        <v>46086</v>
      </c>
      <c r="C112" s="63" t="s">
        <v>1848</v>
      </c>
      <c r="D112" s="67">
        <v>313041</v>
      </c>
      <c r="E112" s="67"/>
      <c r="F112" s="61" t="str">
        <f t="shared" si="1"/>
        <v>借</v>
      </c>
      <c r="G112" s="64">
        <f>SUM(D$6:E112)</f>
        <v>5364400</v>
      </c>
      <c r="H112" s="61"/>
      <c r="I112" s="61" t="s">
        <v>1849</v>
      </c>
      <c r="J112" s="61" t="s">
        <v>338</v>
      </c>
      <c r="K112" s="64">
        <v>14492608</v>
      </c>
      <c r="L112" s="61"/>
      <c r="M112" s="65" t="s">
        <v>224</v>
      </c>
      <c r="N112" s="61"/>
      <c r="O112" s="61"/>
      <c r="P112" s="61"/>
      <c r="Q112" s="61"/>
      <c r="R112" s="61">
        <v>541077</v>
      </c>
      <c r="S112" s="66" t="s">
        <v>237</v>
      </c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 s="61" t="s">
        <v>314</v>
      </c>
      <c r="B113" s="62">
        <v>46086</v>
      </c>
      <c r="C113" s="63" t="s">
        <v>1839</v>
      </c>
      <c r="D113" s="67">
        <v>2111</v>
      </c>
      <c r="E113" s="67"/>
      <c r="F113" s="61" t="str">
        <f t="shared" si="1"/>
        <v>借</v>
      </c>
      <c r="G113" s="64">
        <f>SUM(D$6:E113)</f>
        <v>5366511</v>
      </c>
      <c r="H113" s="61"/>
      <c r="I113" s="61" t="s">
        <v>1840</v>
      </c>
      <c r="J113" s="61" t="s">
        <v>1841</v>
      </c>
      <c r="K113" s="64">
        <v>2051.04</v>
      </c>
      <c r="L113" s="61"/>
      <c r="M113" s="65" t="s">
        <v>224</v>
      </c>
      <c r="N113" s="61"/>
      <c r="O113" s="61"/>
      <c r="P113" s="61"/>
      <c r="Q113" s="61"/>
      <c r="R113" s="61">
        <v>540806</v>
      </c>
      <c r="S113" s="66" t="s">
        <v>237</v>
      </c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 s="61" t="s">
        <v>314</v>
      </c>
      <c r="B114" s="62">
        <v>46086</v>
      </c>
      <c r="C114" s="63" t="s">
        <v>1901</v>
      </c>
      <c r="D114" s="67">
        <v>34410</v>
      </c>
      <c r="E114" s="67"/>
      <c r="F114" s="61" t="str">
        <f t="shared" si="1"/>
        <v>借</v>
      </c>
      <c r="G114" s="64">
        <f>SUM(D$6:E114)</f>
        <v>5400921</v>
      </c>
      <c r="H114" s="61"/>
      <c r="I114" s="61" t="s">
        <v>1902</v>
      </c>
      <c r="J114" s="61" t="s">
        <v>114</v>
      </c>
      <c r="K114" s="64">
        <v>34410</v>
      </c>
      <c r="L114" s="61"/>
      <c r="M114" s="65" t="s">
        <v>928</v>
      </c>
      <c r="N114" s="61"/>
      <c r="O114" s="61"/>
      <c r="P114" s="61"/>
      <c r="Q114" s="61"/>
      <c r="R114" s="61">
        <v>541561</v>
      </c>
      <c r="S114" s="66" t="s">
        <v>843</v>
      </c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 s="61" t="s">
        <v>314</v>
      </c>
      <c r="B115" s="62">
        <v>46086</v>
      </c>
      <c r="C115" s="63" t="s">
        <v>1853</v>
      </c>
      <c r="D115" s="67">
        <v>75187</v>
      </c>
      <c r="E115" s="67"/>
      <c r="F115" s="61" t="str">
        <f t="shared" si="1"/>
        <v>借</v>
      </c>
      <c r="G115" s="64">
        <f>SUM(D$6:E115)</f>
        <v>5476108</v>
      </c>
      <c r="H115" s="61"/>
      <c r="I115" s="61" t="s">
        <v>1854</v>
      </c>
      <c r="J115" s="61" t="s">
        <v>114</v>
      </c>
      <c r="K115" s="64">
        <v>75187</v>
      </c>
      <c r="L115" s="61"/>
      <c r="M115" s="65" t="s">
        <v>265</v>
      </c>
      <c r="N115" s="61"/>
      <c r="O115" s="61"/>
      <c r="P115" s="61"/>
      <c r="Q115" s="61"/>
      <c r="R115" s="61">
        <v>541561</v>
      </c>
      <c r="S115" s="66" t="s">
        <v>843</v>
      </c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 s="61" t="s">
        <v>314</v>
      </c>
      <c r="B116" s="62">
        <v>46086</v>
      </c>
      <c r="C116" s="63" t="s">
        <v>1905</v>
      </c>
      <c r="D116" s="67">
        <v>5000</v>
      </c>
      <c r="E116" s="67"/>
      <c r="F116" s="61" t="str">
        <f t="shared" si="1"/>
        <v>借</v>
      </c>
      <c r="G116" s="64">
        <f>SUM(D$6:E116)</f>
        <v>5481108</v>
      </c>
      <c r="H116" s="61"/>
      <c r="I116" s="61" t="s">
        <v>1906</v>
      </c>
      <c r="J116" s="61" t="s">
        <v>114</v>
      </c>
      <c r="K116" s="64">
        <v>5000</v>
      </c>
      <c r="L116" s="61"/>
      <c r="M116" s="65" t="s">
        <v>324</v>
      </c>
      <c r="N116" s="61"/>
      <c r="O116" s="61"/>
      <c r="P116" s="61"/>
      <c r="Q116" s="61"/>
      <c r="R116" s="61">
        <v>541561</v>
      </c>
      <c r="S116" s="66" t="s">
        <v>843</v>
      </c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 s="61" t="s">
        <v>314</v>
      </c>
      <c r="B117" s="62">
        <v>46086</v>
      </c>
      <c r="C117" s="63" t="s">
        <v>1857</v>
      </c>
      <c r="D117" s="67">
        <v>63000</v>
      </c>
      <c r="E117" s="67"/>
      <c r="F117" s="61" t="str">
        <f t="shared" si="1"/>
        <v>借</v>
      </c>
      <c r="G117" s="64">
        <f>SUM(D$6:E117)</f>
        <v>5544108</v>
      </c>
      <c r="H117" s="61"/>
      <c r="I117" s="61" t="s">
        <v>1858</v>
      </c>
      <c r="J117" s="61" t="s">
        <v>114</v>
      </c>
      <c r="K117" s="64">
        <v>63000</v>
      </c>
      <c r="L117" s="61"/>
      <c r="M117" s="65" t="s">
        <v>339</v>
      </c>
      <c r="N117" s="61"/>
      <c r="O117" s="61"/>
      <c r="P117" s="61"/>
      <c r="Q117" s="61"/>
      <c r="R117" s="61">
        <v>541561</v>
      </c>
      <c r="S117" s="66" t="s">
        <v>843</v>
      </c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 s="61" t="s">
        <v>314</v>
      </c>
      <c r="B118" s="62">
        <v>46086</v>
      </c>
      <c r="C118" s="63" t="s">
        <v>1910</v>
      </c>
      <c r="D118" s="67">
        <v>30003</v>
      </c>
      <c r="E118" s="67"/>
      <c r="F118" s="61" t="str">
        <f t="shared" si="1"/>
        <v>借</v>
      </c>
      <c r="G118" s="64">
        <f>SUM(D$6:E118)</f>
        <v>5574111</v>
      </c>
      <c r="H118" s="61"/>
      <c r="I118" s="61" t="s">
        <v>1911</v>
      </c>
      <c r="J118" s="61" t="s">
        <v>114</v>
      </c>
      <c r="K118" s="64">
        <v>30003</v>
      </c>
      <c r="L118" s="61"/>
      <c r="M118" s="65" t="s">
        <v>929</v>
      </c>
      <c r="N118" s="61"/>
      <c r="O118" s="61"/>
      <c r="P118" s="61"/>
      <c r="Q118" s="61"/>
      <c r="R118" s="61">
        <v>541561</v>
      </c>
      <c r="S118" s="66" t="s">
        <v>843</v>
      </c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 s="61" t="s">
        <v>314</v>
      </c>
      <c r="B119" s="62">
        <v>46086</v>
      </c>
      <c r="C119" s="63" t="s">
        <v>1859</v>
      </c>
      <c r="D119" s="67">
        <v>71881</v>
      </c>
      <c r="E119" s="67"/>
      <c r="F119" s="61" t="str">
        <f t="shared" si="1"/>
        <v>借</v>
      </c>
      <c r="G119" s="64">
        <f>SUM(D$6:E119)</f>
        <v>5645992</v>
      </c>
      <c r="H119" s="61"/>
      <c r="I119" s="61" t="s">
        <v>1860</v>
      </c>
      <c r="J119" s="61" t="s">
        <v>114</v>
      </c>
      <c r="K119" s="64">
        <v>71881</v>
      </c>
      <c r="L119" s="61"/>
      <c r="M119" s="65" t="s">
        <v>304</v>
      </c>
      <c r="N119" s="61"/>
      <c r="O119" s="61"/>
      <c r="P119" s="61"/>
      <c r="Q119" s="61"/>
      <c r="R119" s="61">
        <v>541561</v>
      </c>
      <c r="S119" s="66" t="s">
        <v>843</v>
      </c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 s="61" t="s">
        <v>314</v>
      </c>
      <c r="B120" s="62">
        <v>46086</v>
      </c>
      <c r="C120" s="63" t="s">
        <v>1912</v>
      </c>
      <c r="D120" s="67">
        <v>10000</v>
      </c>
      <c r="E120" s="67"/>
      <c r="F120" s="61" t="str">
        <f t="shared" si="1"/>
        <v>借</v>
      </c>
      <c r="G120" s="64">
        <f>SUM(D$6:E120)</f>
        <v>5655992</v>
      </c>
      <c r="H120" s="61"/>
      <c r="I120" s="61" t="s">
        <v>1913</v>
      </c>
      <c r="J120" s="61" t="s">
        <v>114</v>
      </c>
      <c r="K120" s="64">
        <v>10000</v>
      </c>
      <c r="L120" s="61"/>
      <c r="M120" s="65" t="s">
        <v>979</v>
      </c>
      <c r="N120" s="61"/>
      <c r="O120" s="61"/>
      <c r="P120" s="61"/>
      <c r="Q120" s="61"/>
      <c r="R120" s="61">
        <v>541561</v>
      </c>
      <c r="S120" s="66" t="s">
        <v>843</v>
      </c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 s="61" t="s">
        <v>314</v>
      </c>
      <c r="B121" s="62">
        <v>46086</v>
      </c>
      <c r="C121" s="63" t="s">
        <v>1864</v>
      </c>
      <c r="D121" s="67">
        <v>25250</v>
      </c>
      <c r="E121" s="67"/>
      <c r="F121" s="61" t="str">
        <f t="shared" si="1"/>
        <v>借</v>
      </c>
      <c r="G121" s="64">
        <f>SUM(D$6:E121)</f>
        <v>5681242</v>
      </c>
      <c r="H121" s="61"/>
      <c r="I121" s="61" t="s">
        <v>1865</v>
      </c>
      <c r="J121" s="61" t="s">
        <v>114</v>
      </c>
      <c r="K121" s="64">
        <v>25250</v>
      </c>
      <c r="L121" s="61"/>
      <c r="M121" s="65" t="s">
        <v>302</v>
      </c>
      <c r="N121" s="61"/>
      <c r="O121" s="61"/>
      <c r="P121" s="61"/>
      <c r="Q121" s="61"/>
      <c r="R121" s="61">
        <v>541561</v>
      </c>
      <c r="S121" s="66" t="s">
        <v>843</v>
      </c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 s="61" t="s">
        <v>314</v>
      </c>
      <c r="B122" s="62">
        <v>46086</v>
      </c>
      <c r="C122" s="63" t="s">
        <v>1914</v>
      </c>
      <c r="D122" s="67">
        <v>27000</v>
      </c>
      <c r="E122" s="67"/>
      <c r="F122" s="61" t="str">
        <f t="shared" si="1"/>
        <v>借</v>
      </c>
      <c r="G122" s="64">
        <f>SUM(D$6:E122)</f>
        <v>5708242</v>
      </c>
      <c r="H122" s="61"/>
      <c r="I122" s="61" t="s">
        <v>1915</v>
      </c>
      <c r="J122" s="61" t="s">
        <v>114</v>
      </c>
      <c r="K122" s="64">
        <v>27000</v>
      </c>
      <c r="L122" s="61"/>
      <c r="M122" s="65" t="s">
        <v>930</v>
      </c>
      <c r="N122" s="61"/>
      <c r="O122" s="61"/>
      <c r="P122" s="61"/>
      <c r="Q122" s="61"/>
      <c r="R122" s="61">
        <v>541561</v>
      </c>
      <c r="S122" s="66" t="s">
        <v>843</v>
      </c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 s="61" t="s">
        <v>314</v>
      </c>
      <c r="B123" s="62">
        <v>46086</v>
      </c>
      <c r="C123" s="63" t="s">
        <v>1868</v>
      </c>
      <c r="D123" s="67">
        <v>45156</v>
      </c>
      <c r="E123" s="67"/>
      <c r="F123" s="61" t="str">
        <f t="shared" si="1"/>
        <v>借</v>
      </c>
      <c r="G123" s="64">
        <f>SUM(D$6:E123)</f>
        <v>5753398</v>
      </c>
      <c r="H123" s="61"/>
      <c r="I123" s="61" t="s">
        <v>1869</v>
      </c>
      <c r="J123" s="61" t="s">
        <v>114</v>
      </c>
      <c r="K123" s="64">
        <v>45156</v>
      </c>
      <c r="L123" s="61"/>
      <c r="M123" s="65" t="s">
        <v>264</v>
      </c>
      <c r="N123" s="61"/>
      <c r="O123" s="61"/>
      <c r="P123" s="61"/>
      <c r="Q123" s="61"/>
      <c r="R123" s="61">
        <v>541561</v>
      </c>
      <c r="S123" s="66" t="s">
        <v>843</v>
      </c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 s="61" t="s">
        <v>314</v>
      </c>
      <c r="B124" s="62">
        <v>46086</v>
      </c>
      <c r="C124" s="63" t="s">
        <v>1916</v>
      </c>
      <c r="D124" s="67">
        <v>66308</v>
      </c>
      <c r="E124" s="67"/>
      <c r="F124" s="61" t="str">
        <f t="shared" si="1"/>
        <v>借</v>
      </c>
      <c r="G124" s="64">
        <f>SUM(D$6:E124)</f>
        <v>5819706</v>
      </c>
      <c r="H124" s="61"/>
      <c r="I124" s="61" t="s">
        <v>1917</v>
      </c>
      <c r="J124" s="61" t="s">
        <v>114</v>
      </c>
      <c r="K124" s="64">
        <v>66308</v>
      </c>
      <c r="L124" s="61"/>
      <c r="M124" s="65" t="s">
        <v>392</v>
      </c>
      <c r="N124" s="61"/>
      <c r="O124" s="61"/>
      <c r="P124" s="61"/>
      <c r="Q124" s="61"/>
      <c r="R124" s="61">
        <v>541561</v>
      </c>
      <c r="S124" s="66" t="s">
        <v>843</v>
      </c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 s="61" t="s">
        <v>314</v>
      </c>
      <c r="B125" s="62">
        <v>46086</v>
      </c>
      <c r="C125" s="63" t="s">
        <v>1873</v>
      </c>
      <c r="D125" s="67">
        <v>5000</v>
      </c>
      <c r="E125" s="67"/>
      <c r="F125" s="61" t="str">
        <f t="shared" si="1"/>
        <v>借</v>
      </c>
      <c r="G125" s="64">
        <f>SUM(D$6:E125)</f>
        <v>5824706</v>
      </c>
      <c r="H125" s="61"/>
      <c r="I125" s="61" t="s">
        <v>1874</v>
      </c>
      <c r="J125" s="61" t="s">
        <v>114</v>
      </c>
      <c r="K125" s="64">
        <v>5000</v>
      </c>
      <c r="L125" s="61"/>
      <c r="M125" s="65" t="s">
        <v>1573</v>
      </c>
      <c r="N125" s="61"/>
      <c r="O125" s="61"/>
      <c r="P125" s="61"/>
      <c r="Q125" s="61"/>
      <c r="R125" s="61">
        <v>541561</v>
      </c>
      <c r="S125" s="66" t="s">
        <v>843</v>
      </c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 s="61" t="s">
        <v>314</v>
      </c>
      <c r="B126" s="62">
        <v>46086</v>
      </c>
      <c r="C126" s="63" t="s">
        <v>1919</v>
      </c>
      <c r="D126" s="67">
        <v>10000</v>
      </c>
      <c r="E126" s="67"/>
      <c r="F126" s="61" t="str">
        <f t="shared" si="1"/>
        <v>借</v>
      </c>
      <c r="G126" s="64">
        <f>SUM(D$6:E126)</f>
        <v>5834706</v>
      </c>
      <c r="H126" s="61"/>
      <c r="I126" s="61" t="s">
        <v>1920</v>
      </c>
      <c r="J126" s="61" t="s">
        <v>114</v>
      </c>
      <c r="K126" s="64">
        <v>10000</v>
      </c>
      <c r="L126" s="61"/>
      <c r="M126" s="65" t="s">
        <v>283</v>
      </c>
      <c r="N126" s="61"/>
      <c r="O126" s="61"/>
      <c r="P126" s="61"/>
      <c r="Q126" s="61"/>
      <c r="R126" s="61">
        <v>541561</v>
      </c>
      <c r="S126" s="66" t="s">
        <v>843</v>
      </c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 s="61" t="s">
        <v>314</v>
      </c>
      <c r="B127" s="62">
        <v>46086</v>
      </c>
      <c r="C127" s="63" t="s">
        <v>1875</v>
      </c>
      <c r="D127" s="67">
        <v>8000</v>
      </c>
      <c r="E127" s="67"/>
      <c r="F127" s="61" t="str">
        <f t="shared" si="1"/>
        <v>借</v>
      </c>
      <c r="G127" s="64">
        <f>SUM(D$6:E127)</f>
        <v>5842706</v>
      </c>
      <c r="H127" s="61"/>
      <c r="I127" s="61" t="s">
        <v>1876</v>
      </c>
      <c r="J127" s="61" t="s">
        <v>114</v>
      </c>
      <c r="K127" s="64">
        <v>8000</v>
      </c>
      <c r="L127" s="61"/>
      <c r="M127" s="65" t="s">
        <v>340</v>
      </c>
      <c r="N127" s="61"/>
      <c r="O127" s="61"/>
      <c r="P127" s="61"/>
      <c r="Q127" s="61"/>
      <c r="R127" s="61">
        <v>541561</v>
      </c>
      <c r="S127" s="66" t="s">
        <v>843</v>
      </c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 s="61" t="s">
        <v>314</v>
      </c>
      <c r="B128" s="62">
        <v>46086</v>
      </c>
      <c r="C128" s="63" t="s">
        <v>1921</v>
      </c>
      <c r="D128" s="67">
        <v>42410</v>
      </c>
      <c r="E128" s="67"/>
      <c r="F128" s="61" t="str">
        <f t="shared" si="1"/>
        <v>借</v>
      </c>
      <c r="G128" s="64">
        <f>SUM(D$6:E128)</f>
        <v>5885116</v>
      </c>
      <c r="H128" s="61"/>
      <c r="I128" s="61" t="s">
        <v>1922</v>
      </c>
      <c r="J128" s="61" t="s">
        <v>114</v>
      </c>
      <c r="K128" s="64">
        <v>42410</v>
      </c>
      <c r="L128" s="61"/>
      <c r="M128" s="65" t="s">
        <v>318</v>
      </c>
      <c r="N128" s="61"/>
      <c r="O128" s="61"/>
      <c r="P128" s="61"/>
      <c r="Q128" s="61"/>
      <c r="R128" s="61">
        <v>541561</v>
      </c>
      <c r="S128" s="66" t="s">
        <v>843</v>
      </c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 s="61" t="s">
        <v>314</v>
      </c>
      <c r="B129" s="62">
        <v>46086</v>
      </c>
      <c r="C129" s="63" t="s">
        <v>1877</v>
      </c>
      <c r="D129" s="67">
        <v>1009</v>
      </c>
      <c r="E129" s="67"/>
      <c r="F129" s="61" t="str">
        <f t="shared" si="1"/>
        <v>借</v>
      </c>
      <c r="G129" s="64">
        <f>SUM(D$6:E129)</f>
        <v>5886125</v>
      </c>
      <c r="H129" s="61"/>
      <c r="I129" s="61" t="s">
        <v>1878</v>
      </c>
      <c r="J129" s="61" t="s">
        <v>114</v>
      </c>
      <c r="K129" s="64">
        <v>1009</v>
      </c>
      <c r="L129" s="61"/>
      <c r="M129" s="65" t="s">
        <v>277</v>
      </c>
      <c r="N129" s="61"/>
      <c r="O129" s="61"/>
      <c r="P129" s="61"/>
      <c r="Q129" s="61"/>
      <c r="R129" s="61">
        <v>541561</v>
      </c>
      <c r="S129" s="66" t="s">
        <v>843</v>
      </c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 s="61" t="s">
        <v>314</v>
      </c>
      <c r="B130" s="62">
        <v>46086</v>
      </c>
      <c r="C130" s="63" t="s">
        <v>1924</v>
      </c>
      <c r="D130" s="67">
        <v>142562</v>
      </c>
      <c r="E130" s="67"/>
      <c r="F130" s="61" t="str">
        <f t="shared" si="1"/>
        <v>借</v>
      </c>
      <c r="G130" s="64">
        <f>SUM(D$6:E130)</f>
        <v>6028687</v>
      </c>
      <c r="H130" s="61"/>
      <c r="I130" s="61" t="s">
        <v>1925</v>
      </c>
      <c r="J130" s="61" t="s">
        <v>114</v>
      </c>
      <c r="K130" s="64">
        <v>142562</v>
      </c>
      <c r="L130" s="61"/>
      <c r="M130" s="65" t="s">
        <v>293</v>
      </c>
      <c r="N130" s="61"/>
      <c r="O130" s="61"/>
      <c r="P130" s="61"/>
      <c r="Q130" s="61"/>
      <c r="R130" s="61">
        <v>541561</v>
      </c>
      <c r="S130" s="66" t="s">
        <v>843</v>
      </c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 s="61" t="s">
        <v>314</v>
      </c>
      <c r="B131" s="62">
        <v>46086</v>
      </c>
      <c r="C131" s="63" t="s">
        <v>1881</v>
      </c>
      <c r="D131" s="67">
        <v>1000</v>
      </c>
      <c r="E131" s="67"/>
      <c r="F131" s="61" t="str">
        <f t="shared" si="1"/>
        <v>借</v>
      </c>
      <c r="G131" s="64">
        <f>SUM(D$6:E131)</f>
        <v>6029687</v>
      </c>
      <c r="H131" s="61"/>
      <c r="I131" s="61" t="s">
        <v>1882</v>
      </c>
      <c r="J131" s="61" t="s">
        <v>114</v>
      </c>
      <c r="K131" s="64">
        <v>1000</v>
      </c>
      <c r="L131" s="61"/>
      <c r="M131" s="65" t="s">
        <v>341</v>
      </c>
      <c r="N131" s="61"/>
      <c r="O131" s="61"/>
      <c r="P131" s="61"/>
      <c r="Q131" s="61"/>
      <c r="R131" s="61">
        <v>541561</v>
      </c>
      <c r="S131" s="66" t="s">
        <v>843</v>
      </c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 s="61" t="s">
        <v>314</v>
      </c>
      <c r="B132" s="62">
        <v>46086</v>
      </c>
      <c r="C132" s="63" t="s">
        <v>1926</v>
      </c>
      <c r="D132" s="67">
        <v>96884</v>
      </c>
      <c r="E132" s="67"/>
      <c r="F132" s="61" t="str">
        <f t="shared" si="1"/>
        <v>借</v>
      </c>
      <c r="G132" s="64">
        <f>SUM(D$6:E132)</f>
        <v>6126571</v>
      </c>
      <c r="H132" s="61"/>
      <c r="I132" s="61" t="s">
        <v>1927</v>
      </c>
      <c r="J132" s="61" t="s">
        <v>114</v>
      </c>
      <c r="K132" s="64">
        <v>96884</v>
      </c>
      <c r="L132" s="61"/>
      <c r="M132" s="65" t="s">
        <v>345</v>
      </c>
      <c r="N132" s="61"/>
      <c r="O132" s="61"/>
      <c r="P132" s="61"/>
      <c r="Q132" s="61"/>
      <c r="R132" s="61">
        <v>541561</v>
      </c>
      <c r="S132" s="66" t="s">
        <v>843</v>
      </c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 s="61" t="s">
        <v>314</v>
      </c>
      <c r="B133" s="62">
        <v>46086</v>
      </c>
      <c r="C133" s="63" t="s">
        <v>1885</v>
      </c>
      <c r="D133" s="67">
        <v>1006</v>
      </c>
      <c r="E133" s="67"/>
      <c r="F133" s="61" t="str">
        <f t="shared" si="1"/>
        <v>借</v>
      </c>
      <c r="G133" s="64">
        <f>SUM(D$6:E133)</f>
        <v>6127577</v>
      </c>
      <c r="H133" s="61"/>
      <c r="I133" s="61" t="s">
        <v>1886</v>
      </c>
      <c r="J133" s="61" t="s">
        <v>114</v>
      </c>
      <c r="K133" s="64">
        <v>1006</v>
      </c>
      <c r="L133" s="61"/>
      <c r="M133" s="65" t="s">
        <v>342</v>
      </c>
      <c r="N133" s="61"/>
      <c r="O133" s="61"/>
      <c r="P133" s="61"/>
      <c r="Q133" s="61"/>
      <c r="R133" s="61">
        <v>541561</v>
      </c>
      <c r="S133" s="66" t="s">
        <v>843</v>
      </c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 s="61" t="s">
        <v>314</v>
      </c>
      <c r="B134" s="62">
        <v>46086</v>
      </c>
      <c r="C134" s="63" t="s">
        <v>1928</v>
      </c>
      <c r="D134" s="67">
        <v>2000</v>
      </c>
      <c r="E134" s="67"/>
      <c r="F134" s="61" t="str">
        <f t="shared" si="1"/>
        <v>借</v>
      </c>
      <c r="G134" s="64">
        <f>SUM(D$6:E134)</f>
        <v>6129577</v>
      </c>
      <c r="H134" s="61"/>
      <c r="I134" s="61" t="s">
        <v>1929</v>
      </c>
      <c r="J134" s="61" t="s">
        <v>114</v>
      </c>
      <c r="K134" s="64">
        <v>2000</v>
      </c>
      <c r="L134" s="61"/>
      <c r="M134" s="65" t="s">
        <v>282</v>
      </c>
      <c r="N134" s="61"/>
      <c r="O134" s="61"/>
      <c r="P134" s="61"/>
      <c r="Q134" s="61"/>
      <c r="R134" s="61">
        <v>541561</v>
      </c>
      <c r="S134" s="66" t="s">
        <v>843</v>
      </c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 s="61" t="s">
        <v>314</v>
      </c>
      <c r="B135" s="62">
        <v>46086</v>
      </c>
      <c r="C135" s="63" t="s">
        <v>1890</v>
      </c>
      <c r="D135" s="67">
        <v>1000</v>
      </c>
      <c r="E135" s="67"/>
      <c r="F135" s="61" t="str">
        <f t="shared" ref="F135:F198" si="2">IF(G135&gt;0,"借","貸")</f>
        <v>借</v>
      </c>
      <c r="G135" s="64">
        <f>SUM(D$6:E135)</f>
        <v>6130577</v>
      </c>
      <c r="H135" s="61"/>
      <c r="I135" s="61" t="s">
        <v>1891</v>
      </c>
      <c r="J135" s="61" t="s">
        <v>114</v>
      </c>
      <c r="K135" s="64">
        <v>1000</v>
      </c>
      <c r="L135" s="61"/>
      <c r="M135" s="65" t="s">
        <v>343</v>
      </c>
      <c r="N135" s="61"/>
      <c r="O135" s="61"/>
      <c r="P135" s="61"/>
      <c r="Q135" s="61"/>
      <c r="R135" s="61">
        <v>541561</v>
      </c>
      <c r="S135" s="66" t="s">
        <v>843</v>
      </c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 s="61" t="s">
        <v>314</v>
      </c>
      <c r="B136" s="62">
        <v>46086</v>
      </c>
      <c r="C136" s="63" t="s">
        <v>1930</v>
      </c>
      <c r="D136" s="67">
        <v>18800</v>
      </c>
      <c r="E136" s="67"/>
      <c r="F136" s="61" t="str">
        <f t="shared" si="2"/>
        <v>借</v>
      </c>
      <c r="G136" s="64">
        <f>SUM(D$6:E136)</f>
        <v>6149377</v>
      </c>
      <c r="H136" s="61"/>
      <c r="I136" s="61" t="s">
        <v>1931</v>
      </c>
      <c r="J136" s="61" t="s">
        <v>114</v>
      </c>
      <c r="K136" s="64">
        <v>18800</v>
      </c>
      <c r="L136" s="61"/>
      <c r="M136" s="65" t="s">
        <v>319</v>
      </c>
      <c r="N136" s="61"/>
      <c r="O136" s="61"/>
      <c r="P136" s="61"/>
      <c r="Q136" s="61"/>
      <c r="R136" s="61">
        <v>541561</v>
      </c>
      <c r="S136" s="66" t="s">
        <v>843</v>
      </c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 s="61" t="s">
        <v>314</v>
      </c>
      <c r="B137" s="62">
        <v>46086</v>
      </c>
      <c r="C137" s="63" t="s">
        <v>1893</v>
      </c>
      <c r="D137" s="67">
        <v>16800</v>
      </c>
      <c r="E137" s="67"/>
      <c r="F137" s="61" t="str">
        <f t="shared" si="2"/>
        <v>借</v>
      </c>
      <c r="G137" s="64">
        <f>SUM(D$6:E137)</f>
        <v>6166177</v>
      </c>
      <c r="H137" s="61"/>
      <c r="I137" s="61" t="s">
        <v>1894</v>
      </c>
      <c r="J137" s="61" t="s">
        <v>114</v>
      </c>
      <c r="K137" s="64">
        <v>16800</v>
      </c>
      <c r="L137" s="61"/>
      <c r="M137" s="65" t="s">
        <v>368</v>
      </c>
      <c r="N137" s="61"/>
      <c r="O137" s="61"/>
      <c r="P137" s="61"/>
      <c r="Q137" s="61"/>
      <c r="R137" s="61">
        <v>541561</v>
      </c>
      <c r="S137" s="66" t="s">
        <v>843</v>
      </c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 s="61" t="s">
        <v>314</v>
      </c>
      <c r="B138" s="62">
        <v>46086</v>
      </c>
      <c r="C138" s="63" t="s">
        <v>1932</v>
      </c>
      <c r="D138" s="67">
        <v>37522</v>
      </c>
      <c r="E138" s="67"/>
      <c r="F138" s="61" t="str">
        <f t="shared" si="2"/>
        <v>借</v>
      </c>
      <c r="G138" s="64">
        <f>SUM(D$6:E138)</f>
        <v>6203699</v>
      </c>
      <c r="H138" s="61"/>
      <c r="I138" s="61" t="s">
        <v>1933</v>
      </c>
      <c r="J138" s="61" t="s">
        <v>114</v>
      </c>
      <c r="K138" s="64">
        <v>37522</v>
      </c>
      <c r="L138" s="61"/>
      <c r="M138" s="65" t="s">
        <v>306</v>
      </c>
      <c r="N138" s="61"/>
      <c r="O138" s="61"/>
      <c r="P138" s="61"/>
      <c r="Q138" s="61"/>
      <c r="R138" s="61">
        <v>541561</v>
      </c>
      <c r="S138" s="66" t="s">
        <v>843</v>
      </c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 s="61" t="s">
        <v>314</v>
      </c>
      <c r="B139" s="62">
        <v>46086</v>
      </c>
      <c r="C139" s="63" t="s">
        <v>1895</v>
      </c>
      <c r="D139" s="67">
        <v>11000</v>
      </c>
      <c r="E139" s="67"/>
      <c r="F139" s="61" t="str">
        <f t="shared" si="2"/>
        <v>借</v>
      </c>
      <c r="G139" s="64">
        <f>SUM(D$6:E139)</f>
        <v>6214699</v>
      </c>
      <c r="H139" s="61"/>
      <c r="I139" s="61" t="s">
        <v>1896</v>
      </c>
      <c r="J139" s="61" t="s">
        <v>114</v>
      </c>
      <c r="K139" s="64">
        <v>11000</v>
      </c>
      <c r="L139" s="61"/>
      <c r="M139" s="65" t="s">
        <v>1576</v>
      </c>
      <c r="N139" s="61"/>
      <c r="O139" s="61"/>
      <c r="P139" s="61"/>
      <c r="Q139" s="61"/>
      <c r="R139" s="61">
        <v>541561</v>
      </c>
      <c r="S139" s="66" t="s">
        <v>843</v>
      </c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 s="61" t="s">
        <v>314</v>
      </c>
      <c r="B140" s="62">
        <v>46086</v>
      </c>
      <c r="C140" s="63" t="s">
        <v>1934</v>
      </c>
      <c r="D140" s="67">
        <v>26500</v>
      </c>
      <c r="E140" s="67"/>
      <c r="F140" s="61" t="str">
        <f t="shared" si="2"/>
        <v>借</v>
      </c>
      <c r="G140" s="64">
        <f>SUM(D$6:E140)</f>
        <v>6241199</v>
      </c>
      <c r="H140" s="61"/>
      <c r="I140" s="61" t="s">
        <v>1935</v>
      </c>
      <c r="J140" s="61" t="s">
        <v>114</v>
      </c>
      <c r="K140" s="64">
        <v>26500</v>
      </c>
      <c r="L140" s="61"/>
      <c r="M140" s="65" t="s">
        <v>325</v>
      </c>
      <c r="N140" s="61"/>
      <c r="O140" s="61"/>
      <c r="P140" s="61"/>
      <c r="Q140" s="61"/>
      <c r="R140" s="61">
        <v>541561</v>
      </c>
      <c r="S140" s="66" t="s">
        <v>843</v>
      </c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 s="61" t="s">
        <v>314</v>
      </c>
      <c r="B141" s="62">
        <v>46086</v>
      </c>
      <c r="C141" s="63" t="s">
        <v>1899</v>
      </c>
      <c r="D141" s="67">
        <v>39700</v>
      </c>
      <c r="E141" s="67"/>
      <c r="F141" s="61" t="str">
        <f t="shared" si="2"/>
        <v>借</v>
      </c>
      <c r="G141" s="64">
        <f>SUM(D$6:E141)</f>
        <v>6280899</v>
      </c>
      <c r="H141" s="61"/>
      <c r="I141" s="61" t="s">
        <v>1900</v>
      </c>
      <c r="J141" s="61" t="s">
        <v>114</v>
      </c>
      <c r="K141" s="64">
        <v>39700</v>
      </c>
      <c r="L141" s="61"/>
      <c r="M141" s="65" t="s">
        <v>284</v>
      </c>
      <c r="N141" s="61"/>
      <c r="O141" s="61"/>
      <c r="P141" s="61"/>
      <c r="Q141" s="61"/>
      <c r="R141" s="61">
        <v>541561</v>
      </c>
      <c r="S141" s="66" t="s">
        <v>843</v>
      </c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 s="61" t="s">
        <v>314</v>
      </c>
      <c r="B142" s="62">
        <v>46086</v>
      </c>
      <c r="C142" s="63" t="s">
        <v>1936</v>
      </c>
      <c r="D142" s="67">
        <v>33032</v>
      </c>
      <c r="E142" s="67"/>
      <c r="F142" s="61" t="str">
        <f t="shared" si="2"/>
        <v>借</v>
      </c>
      <c r="G142" s="64">
        <f>SUM(D$6:E142)</f>
        <v>6313931</v>
      </c>
      <c r="H142" s="61"/>
      <c r="I142" s="61" t="s">
        <v>1937</v>
      </c>
      <c r="J142" s="61" t="s">
        <v>114</v>
      </c>
      <c r="K142" s="64">
        <v>33032</v>
      </c>
      <c r="L142" s="61"/>
      <c r="M142" s="65" t="s">
        <v>346</v>
      </c>
      <c r="N142" s="61"/>
      <c r="O142" s="61"/>
      <c r="P142" s="61"/>
      <c r="Q142" s="61"/>
      <c r="R142" s="61">
        <v>541561</v>
      </c>
      <c r="S142" s="66" t="s">
        <v>843</v>
      </c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 s="61" t="s">
        <v>314</v>
      </c>
      <c r="B143" s="62">
        <v>46086</v>
      </c>
      <c r="C143" s="63" t="s">
        <v>1903</v>
      </c>
      <c r="D143" s="67">
        <v>2000</v>
      </c>
      <c r="E143" s="67"/>
      <c r="F143" s="61" t="str">
        <f t="shared" si="2"/>
        <v>借</v>
      </c>
      <c r="G143" s="64">
        <f>SUM(D$6:E143)</f>
        <v>6315931</v>
      </c>
      <c r="H143" s="61"/>
      <c r="I143" s="61" t="s">
        <v>1904</v>
      </c>
      <c r="J143" s="61" t="s">
        <v>114</v>
      </c>
      <c r="K143" s="64">
        <v>2000</v>
      </c>
      <c r="L143" s="61"/>
      <c r="M143" s="65" t="s">
        <v>1577</v>
      </c>
      <c r="N143" s="61"/>
      <c r="O143" s="61"/>
      <c r="P143" s="61"/>
      <c r="Q143" s="61"/>
      <c r="R143" s="61">
        <v>541561</v>
      </c>
      <c r="S143" s="66" t="s">
        <v>843</v>
      </c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 s="61" t="s">
        <v>314</v>
      </c>
      <c r="B144" s="62">
        <v>46086</v>
      </c>
      <c r="C144" s="63" t="s">
        <v>1938</v>
      </c>
      <c r="D144" s="67">
        <v>88824</v>
      </c>
      <c r="E144" s="67"/>
      <c r="F144" s="61" t="str">
        <f t="shared" si="2"/>
        <v>借</v>
      </c>
      <c r="G144" s="64">
        <f>SUM(D$6:E144)</f>
        <v>6404755</v>
      </c>
      <c r="H144" s="61"/>
      <c r="I144" s="61" t="s">
        <v>1939</v>
      </c>
      <c r="J144" s="61" t="s">
        <v>114</v>
      </c>
      <c r="K144" s="64">
        <v>88824</v>
      </c>
      <c r="L144" s="61"/>
      <c r="M144" s="65" t="s">
        <v>278</v>
      </c>
      <c r="N144" s="61"/>
      <c r="O144" s="61"/>
      <c r="P144" s="61"/>
      <c r="Q144" s="61"/>
      <c r="R144" s="61">
        <v>541561</v>
      </c>
      <c r="S144" s="66" t="s">
        <v>843</v>
      </c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 s="61" t="s">
        <v>314</v>
      </c>
      <c r="B145" s="62">
        <v>46086</v>
      </c>
      <c r="C145" s="63" t="s">
        <v>1907</v>
      </c>
      <c r="D145" s="67">
        <v>4250</v>
      </c>
      <c r="E145" s="67"/>
      <c r="F145" s="61" t="str">
        <f t="shared" si="2"/>
        <v>借</v>
      </c>
      <c r="G145" s="64">
        <f>SUM(D$6:E145)</f>
        <v>6409005</v>
      </c>
      <c r="H145" s="61"/>
      <c r="I145" s="61" t="s">
        <v>1908</v>
      </c>
      <c r="J145" s="61" t="s">
        <v>114</v>
      </c>
      <c r="K145" s="64">
        <v>4250</v>
      </c>
      <c r="L145" s="61"/>
      <c r="M145" s="65" t="s">
        <v>344</v>
      </c>
      <c r="N145" s="61"/>
      <c r="O145" s="61"/>
      <c r="P145" s="61"/>
      <c r="Q145" s="61"/>
      <c r="R145" s="61">
        <v>541561</v>
      </c>
      <c r="S145" s="66" t="s">
        <v>843</v>
      </c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 s="61" t="s">
        <v>314</v>
      </c>
      <c r="B146" s="62">
        <v>46086</v>
      </c>
      <c r="C146" s="63" t="s">
        <v>1940</v>
      </c>
      <c r="D146" s="67">
        <v>58000</v>
      </c>
      <c r="E146" s="67"/>
      <c r="F146" s="61" t="str">
        <f t="shared" si="2"/>
        <v>借</v>
      </c>
      <c r="G146" s="64">
        <f>SUM(D$6:E146)</f>
        <v>6467005</v>
      </c>
      <c r="H146" s="61"/>
      <c r="I146" s="61" t="s">
        <v>1941</v>
      </c>
      <c r="J146" s="61" t="s">
        <v>114</v>
      </c>
      <c r="K146" s="64">
        <v>58000</v>
      </c>
      <c r="L146" s="61"/>
      <c r="M146" s="65" t="s">
        <v>931</v>
      </c>
      <c r="N146" s="61"/>
      <c r="O146" s="61"/>
      <c r="P146" s="61"/>
      <c r="Q146" s="61"/>
      <c r="R146" s="61">
        <v>541561</v>
      </c>
      <c r="S146" s="66" t="s">
        <v>843</v>
      </c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 s="61" t="s">
        <v>314</v>
      </c>
      <c r="B147" s="62">
        <v>46086</v>
      </c>
      <c r="C147" s="63" t="s">
        <v>1942</v>
      </c>
      <c r="D147" s="67">
        <v>6600</v>
      </c>
      <c r="E147" s="67"/>
      <c r="F147" s="61" t="str">
        <f t="shared" si="2"/>
        <v>借</v>
      </c>
      <c r="G147" s="64">
        <f>SUM(D$6:E147)</f>
        <v>6473605</v>
      </c>
      <c r="H147" s="61"/>
      <c r="I147" s="61" t="s">
        <v>1943</v>
      </c>
      <c r="J147" s="61" t="s">
        <v>114</v>
      </c>
      <c r="K147" s="64">
        <v>6600</v>
      </c>
      <c r="L147" s="61"/>
      <c r="M147" s="65" t="s">
        <v>347</v>
      </c>
      <c r="N147" s="61"/>
      <c r="O147" s="61"/>
      <c r="P147" s="61"/>
      <c r="Q147" s="61"/>
      <c r="R147" s="61">
        <v>541561</v>
      </c>
      <c r="S147" s="66" t="s">
        <v>843</v>
      </c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 s="61" t="s">
        <v>314</v>
      </c>
      <c r="B148" s="62">
        <v>46086</v>
      </c>
      <c r="C148" s="63" t="s">
        <v>1944</v>
      </c>
      <c r="D148" s="67">
        <v>159126</v>
      </c>
      <c r="E148" s="67"/>
      <c r="F148" s="61" t="str">
        <f t="shared" si="2"/>
        <v>借</v>
      </c>
      <c r="G148" s="64">
        <f>SUM(D$6:E148)</f>
        <v>6632731</v>
      </c>
      <c r="H148" s="61"/>
      <c r="I148" s="61" t="s">
        <v>1945</v>
      </c>
      <c r="J148" s="61" t="s">
        <v>114</v>
      </c>
      <c r="K148" s="64">
        <v>159126</v>
      </c>
      <c r="L148" s="61"/>
      <c r="M148" s="65" t="s">
        <v>307</v>
      </c>
      <c r="N148" s="61"/>
      <c r="O148" s="61"/>
      <c r="P148" s="61"/>
      <c r="Q148" s="61"/>
      <c r="R148" s="61">
        <v>541561</v>
      </c>
      <c r="S148" s="66" t="s">
        <v>843</v>
      </c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 s="61" t="s">
        <v>314</v>
      </c>
      <c r="B149" s="62">
        <v>46086</v>
      </c>
      <c r="C149" s="63" t="s">
        <v>1946</v>
      </c>
      <c r="D149" s="67">
        <v>3000</v>
      </c>
      <c r="E149" s="67"/>
      <c r="F149" s="61" t="str">
        <f t="shared" si="2"/>
        <v>借</v>
      </c>
      <c r="G149" s="64">
        <f>SUM(D$6:E149)</f>
        <v>6635731</v>
      </c>
      <c r="H149" s="61"/>
      <c r="I149" s="61" t="s">
        <v>1947</v>
      </c>
      <c r="J149" s="61" t="s">
        <v>114</v>
      </c>
      <c r="K149" s="64">
        <v>3000</v>
      </c>
      <c r="L149" s="61"/>
      <c r="M149" s="65" t="s">
        <v>1178</v>
      </c>
      <c r="N149" s="61"/>
      <c r="O149" s="61"/>
      <c r="P149" s="61"/>
      <c r="Q149" s="61"/>
      <c r="R149" s="61">
        <v>541561</v>
      </c>
      <c r="S149" s="66" t="s">
        <v>843</v>
      </c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 s="61" t="s">
        <v>314</v>
      </c>
      <c r="B150" s="62">
        <v>46086</v>
      </c>
      <c r="C150" s="63" t="s">
        <v>1948</v>
      </c>
      <c r="D150" s="67">
        <v>46000</v>
      </c>
      <c r="E150" s="67"/>
      <c r="F150" s="61" t="str">
        <f t="shared" si="2"/>
        <v>借</v>
      </c>
      <c r="G150" s="64">
        <f>SUM(D$6:E150)</f>
        <v>6681731</v>
      </c>
      <c r="H150" s="61"/>
      <c r="I150" s="61" t="s">
        <v>1949</v>
      </c>
      <c r="J150" s="61" t="s">
        <v>114</v>
      </c>
      <c r="K150" s="64">
        <v>46000</v>
      </c>
      <c r="L150" s="61"/>
      <c r="M150" s="65" t="s">
        <v>348</v>
      </c>
      <c r="N150" s="61"/>
      <c r="O150" s="61"/>
      <c r="P150" s="61"/>
      <c r="Q150" s="61"/>
      <c r="R150" s="61">
        <v>541561</v>
      </c>
      <c r="S150" s="66" t="s">
        <v>843</v>
      </c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 s="61" t="s">
        <v>314</v>
      </c>
      <c r="B151" s="62">
        <v>46086</v>
      </c>
      <c r="C151" s="63" t="s">
        <v>1950</v>
      </c>
      <c r="D151" s="67">
        <v>34000</v>
      </c>
      <c r="E151" s="67"/>
      <c r="F151" s="61" t="str">
        <f t="shared" si="2"/>
        <v>借</v>
      </c>
      <c r="G151" s="64">
        <f>SUM(D$6:E151)</f>
        <v>6715731</v>
      </c>
      <c r="H151" s="61"/>
      <c r="I151" s="61" t="s">
        <v>1951</v>
      </c>
      <c r="J151" s="61" t="s">
        <v>114</v>
      </c>
      <c r="K151" s="64">
        <v>34000</v>
      </c>
      <c r="L151" s="61"/>
      <c r="M151" s="65" t="s">
        <v>349</v>
      </c>
      <c r="N151" s="61"/>
      <c r="O151" s="61"/>
      <c r="P151" s="61"/>
      <c r="Q151" s="61"/>
      <c r="R151" s="61">
        <v>541561</v>
      </c>
      <c r="S151" s="66" t="s">
        <v>843</v>
      </c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 s="61" t="s">
        <v>314</v>
      </c>
      <c r="B152" s="62">
        <v>46086</v>
      </c>
      <c r="C152" s="63" t="s">
        <v>1952</v>
      </c>
      <c r="D152" s="67">
        <v>10000</v>
      </c>
      <c r="E152" s="67"/>
      <c r="F152" s="61" t="str">
        <f t="shared" si="2"/>
        <v>借</v>
      </c>
      <c r="G152" s="64">
        <f>SUM(D$6:E152)</f>
        <v>6725731</v>
      </c>
      <c r="H152" s="61"/>
      <c r="I152" s="61" t="s">
        <v>1953</v>
      </c>
      <c r="J152" s="61" t="s">
        <v>114</v>
      </c>
      <c r="K152" s="64">
        <v>10000</v>
      </c>
      <c r="L152" s="61"/>
      <c r="M152" s="65" t="s">
        <v>350</v>
      </c>
      <c r="N152" s="61"/>
      <c r="O152" s="61"/>
      <c r="P152" s="61"/>
      <c r="Q152" s="61"/>
      <c r="R152" s="61">
        <v>541561</v>
      </c>
      <c r="S152" s="66" t="s">
        <v>843</v>
      </c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 s="61" t="s">
        <v>314</v>
      </c>
      <c r="B153" s="62">
        <v>46086</v>
      </c>
      <c r="C153" s="63" t="s">
        <v>1954</v>
      </c>
      <c r="D153" s="67">
        <v>10000</v>
      </c>
      <c r="E153" s="67"/>
      <c r="F153" s="61" t="str">
        <f t="shared" si="2"/>
        <v>借</v>
      </c>
      <c r="G153" s="64">
        <f>SUM(D$6:E153)</f>
        <v>6735731</v>
      </c>
      <c r="H153" s="61"/>
      <c r="I153" s="61" t="s">
        <v>1955</v>
      </c>
      <c r="J153" s="61" t="s">
        <v>114</v>
      </c>
      <c r="K153" s="64">
        <v>10000</v>
      </c>
      <c r="L153" s="61"/>
      <c r="M153" s="65" t="s">
        <v>351</v>
      </c>
      <c r="N153" s="61"/>
      <c r="O153" s="61"/>
      <c r="P153" s="61"/>
      <c r="Q153" s="61"/>
      <c r="R153" s="61">
        <v>541561</v>
      </c>
      <c r="S153" s="66" t="s">
        <v>843</v>
      </c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 s="61" t="s">
        <v>314</v>
      </c>
      <c r="B154" s="62">
        <v>46086</v>
      </c>
      <c r="C154" s="63" t="s">
        <v>1956</v>
      </c>
      <c r="D154" s="67">
        <v>10000</v>
      </c>
      <c r="E154" s="67"/>
      <c r="F154" s="61" t="str">
        <f t="shared" si="2"/>
        <v>借</v>
      </c>
      <c r="G154" s="64">
        <f>SUM(D$6:E154)</f>
        <v>6745731</v>
      </c>
      <c r="H154" s="61"/>
      <c r="I154" s="61" t="s">
        <v>1957</v>
      </c>
      <c r="J154" s="61" t="s">
        <v>114</v>
      </c>
      <c r="K154" s="64">
        <v>10000</v>
      </c>
      <c r="L154" s="61"/>
      <c r="M154" s="65" t="s">
        <v>1326</v>
      </c>
      <c r="N154" s="61"/>
      <c r="O154" s="61"/>
      <c r="P154" s="61"/>
      <c r="Q154" s="61"/>
      <c r="R154" s="61">
        <v>541561</v>
      </c>
      <c r="S154" s="66" t="s">
        <v>843</v>
      </c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 s="61" t="s">
        <v>314</v>
      </c>
      <c r="B155" s="62">
        <v>46086</v>
      </c>
      <c r="C155" s="63" t="s">
        <v>1958</v>
      </c>
      <c r="D155" s="67">
        <v>3000</v>
      </c>
      <c r="E155" s="67"/>
      <c r="F155" s="61" t="str">
        <f t="shared" si="2"/>
        <v>借</v>
      </c>
      <c r="G155" s="64">
        <f>SUM(D$6:E155)</f>
        <v>6748731</v>
      </c>
      <c r="H155" s="61"/>
      <c r="I155" s="61" t="s">
        <v>1959</v>
      </c>
      <c r="J155" s="61" t="s">
        <v>114</v>
      </c>
      <c r="K155" s="64">
        <v>3000</v>
      </c>
      <c r="L155" s="61"/>
      <c r="M155" s="65" t="s">
        <v>352</v>
      </c>
      <c r="N155" s="61"/>
      <c r="O155" s="61"/>
      <c r="P155" s="61"/>
      <c r="Q155" s="61"/>
      <c r="R155" s="61">
        <v>541561</v>
      </c>
      <c r="S155" s="66" t="s">
        <v>843</v>
      </c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 s="61" t="s">
        <v>314</v>
      </c>
      <c r="B156" s="62">
        <v>46086</v>
      </c>
      <c r="C156" s="63" t="s">
        <v>1960</v>
      </c>
      <c r="D156" s="67">
        <v>3000</v>
      </c>
      <c r="E156" s="67"/>
      <c r="F156" s="61" t="str">
        <f t="shared" si="2"/>
        <v>借</v>
      </c>
      <c r="G156" s="64">
        <f>SUM(D$6:E156)</f>
        <v>6751731</v>
      </c>
      <c r="H156" s="61"/>
      <c r="I156" s="61" t="s">
        <v>1961</v>
      </c>
      <c r="J156" s="61" t="s">
        <v>114</v>
      </c>
      <c r="K156" s="64">
        <v>3000</v>
      </c>
      <c r="L156" s="61"/>
      <c r="M156" s="65" t="s">
        <v>932</v>
      </c>
      <c r="N156" s="61"/>
      <c r="O156" s="61"/>
      <c r="P156" s="61"/>
      <c r="Q156" s="61"/>
      <c r="R156" s="61">
        <v>541561</v>
      </c>
      <c r="S156" s="66" t="s">
        <v>843</v>
      </c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 s="61" t="s">
        <v>314</v>
      </c>
      <c r="B157" s="62">
        <v>46086</v>
      </c>
      <c r="C157" s="63" t="s">
        <v>1962</v>
      </c>
      <c r="D157" s="67">
        <v>3000</v>
      </c>
      <c r="E157" s="67"/>
      <c r="F157" s="61" t="str">
        <f t="shared" si="2"/>
        <v>借</v>
      </c>
      <c r="G157" s="64">
        <f>SUM(D$6:E157)</f>
        <v>6754731</v>
      </c>
      <c r="H157" s="61"/>
      <c r="I157" s="61" t="s">
        <v>1963</v>
      </c>
      <c r="J157" s="61" t="s">
        <v>114</v>
      </c>
      <c r="K157" s="64">
        <v>3000</v>
      </c>
      <c r="L157" s="61"/>
      <c r="M157" s="65" t="s">
        <v>353</v>
      </c>
      <c r="N157" s="61"/>
      <c r="O157" s="61"/>
      <c r="P157" s="61"/>
      <c r="Q157" s="61"/>
      <c r="R157" s="61">
        <v>541561</v>
      </c>
      <c r="S157" s="66" t="s">
        <v>843</v>
      </c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 s="61" t="s">
        <v>314</v>
      </c>
      <c r="B158" s="62">
        <v>46086</v>
      </c>
      <c r="C158" s="63" t="s">
        <v>1964</v>
      </c>
      <c r="D158" s="67">
        <v>5000</v>
      </c>
      <c r="E158" s="67"/>
      <c r="F158" s="61" t="str">
        <f t="shared" si="2"/>
        <v>借</v>
      </c>
      <c r="G158" s="64">
        <f>SUM(D$6:E158)</f>
        <v>6759731</v>
      </c>
      <c r="H158" s="61"/>
      <c r="I158" s="61" t="s">
        <v>1965</v>
      </c>
      <c r="J158" s="61" t="s">
        <v>114</v>
      </c>
      <c r="K158" s="64">
        <v>5000</v>
      </c>
      <c r="L158" s="61"/>
      <c r="M158" s="65" t="s">
        <v>279</v>
      </c>
      <c r="N158" s="61"/>
      <c r="O158" s="61"/>
      <c r="P158" s="61"/>
      <c r="Q158" s="61"/>
      <c r="R158" s="61">
        <v>541561</v>
      </c>
      <c r="S158" s="66" t="s">
        <v>843</v>
      </c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 s="61" t="s">
        <v>314</v>
      </c>
      <c r="B159" s="62">
        <v>46086</v>
      </c>
      <c r="C159" s="63" t="s">
        <v>1966</v>
      </c>
      <c r="D159" s="67">
        <v>3000</v>
      </c>
      <c r="E159" s="67"/>
      <c r="F159" s="61" t="str">
        <f t="shared" si="2"/>
        <v>借</v>
      </c>
      <c r="G159" s="64">
        <f>SUM(D$6:E159)</f>
        <v>6762731</v>
      </c>
      <c r="H159" s="61"/>
      <c r="I159" s="61" t="s">
        <v>1967</v>
      </c>
      <c r="J159" s="61" t="s">
        <v>114</v>
      </c>
      <c r="K159" s="64">
        <v>3000</v>
      </c>
      <c r="L159" s="61"/>
      <c r="M159" s="65" t="s">
        <v>354</v>
      </c>
      <c r="N159" s="61"/>
      <c r="O159" s="61"/>
      <c r="P159" s="61"/>
      <c r="Q159" s="61"/>
      <c r="R159" s="61">
        <v>541561</v>
      </c>
      <c r="S159" s="66" t="s">
        <v>843</v>
      </c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 s="61" t="s">
        <v>314</v>
      </c>
      <c r="B160" s="62">
        <v>46086</v>
      </c>
      <c r="C160" s="63" t="s">
        <v>1968</v>
      </c>
      <c r="D160" s="67">
        <v>4000</v>
      </c>
      <c r="E160" s="67"/>
      <c r="F160" s="61" t="str">
        <f t="shared" si="2"/>
        <v>借</v>
      </c>
      <c r="G160" s="64">
        <f>SUM(D$6:E160)</f>
        <v>6766731</v>
      </c>
      <c r="H160" s="61"/>
      <c r="I160" s="61" t="s">
        <v>1969</v>
      </c>
      <c r="J160" s="61" t="s">
        <v>114</v>
      </c>
      <c r="K160" s="64">
        <v>4000</v>
      </c>
      <c r="L160" s="61"/>
      <c r="M160" s="65" t="s">
        <v>270</v>
      </c>
      <c r="N160" s="61"/>
      <c r="O160" s="61"/>
      <c r="P160" s="61"/>
      <c r="Q160" s="61"/>
      <c r="R160" s="61">
        <v>541561</v>
      </c>
      <c r="S160" s="66" t="s">
        <v>843</v>
      </c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 s="61" t="s">
        <v>314</v>
      </c>
      <c r="B161" s="62">
        <v>46086</v>
      </c>
      <c r="C161" s="63" t="s">
        <v>1970</v>
      </c>
      <c r="D161" s="67">
        <v>38000</v>
      </c>
      <c r="E161" s="67"/>
      <c r="F161" s="61" t="str">
        <f t="shared" si="2"/>
        <v>借</v>
      </c>
      <c r="G161" s="64">
        <f>SUM(D$6:E161)</f>
        <v>6804731</v>
      </c>
      <c r="H161" s="61"/>
      <c r="I161" s="61" t="s">
        <v>1971</v>
      </c>
      <c r="J161" s="61" t="s">
        <v>114</v>
      </c>
      <c r="K161" s="64">
        <v>38000</v>
      </c>
      <c r="L161" s="61"/>
      <c r="M161" s="65" t="s">
        <v>288</v>
      </c>
      <c r="N161" s="61"/>
      <c r="O161" s="61"/>
      <c r="P161" s="61"/>
      <c r="Q161" s="61"/>
      <c r="R161" s="61">
        <v>541561</v>
      </c>
      <c r="S161" s="66" t="s">
        <v>843</v>
      </c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 s="61" t="s">
        <v>314</v>
      </c>
      <c r="B162" s="62">
        <v>46086</v>
      </c>
      <c r="C162" s="63" t="s">
        <v>1972</v>
      </c>
      <c r="D162" s="67">
        <v>30010</v>
      </c>
      <c r="E162" s="67"/>
      <c r="F162" s="61" t="str">
        <f t="shared" si="2"/>
        <v>借</v>
      </c>
      <c r="G162" s="64">
        <f>SUM(D$6:E162)</f>
        <v>6834741</v>
      </c>
      <c r="H162" s="61"/>
      <c r="I162" s="61" t="s">
        <v>1973</v>
      </c>
      <c r="J162" s="61" t="s">
        <v>114</v>
      </c>
      <c r="K162" s="64">
        <v>30010</v>
      </c>
      <c r="L162" s="61"/>
      <c r="M162" s="65" t="s">
        <v>1179</v>
      </c>
      <c r="N162" s="61"/>
      <c r="O162" s="61"/>
      <c r="P162" s="61"/>
      <c r="Q162" s="61"/>
      <c r="R162" s="61">
        <v>541561</v>
      </c>
      <c r="S162" s="66" t="s">
        <v>843</v>
      </c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 s="61" t="s">
        <v>314</v>
      </c>
      <c r="B163" s="62">
        <v>46086</v>
      </c>
      <c r="C163" s="63" t="s">
        <v>1975</v>
      </c>
      <c r="D163" s="67">
        <v>4000</v>
      </c>
      <c r="E163" s="67"/>
      <c r="F163" s="61" t="str">
        <f t="shared" si="2"/>
        <v>借</v>
      </c>
      <c r="G163" s="64">
        <f>SUM(D$6:E163)</f>
        <v>6838741</v>
      </c>
      <c r="H163" s="61"/>
      <c r="I163" s="61" t="s">
        <v>1976</v>
      </c>
      <c r="J163" s="61" t="s">
        <v>114</v>
      </c>
      <c r="K163" s="64">
        <v>4000</v>
      </c>
      <c r="L163" s="61"/>
      <c r="M163" s="65" t="s">
        <v>355</v>
      </c>
      <c r="N163" s="61"/>
      <c r="O163" s="61"/>
      <c r="P163" s="61"/>
      <c r="Q163" s="61"/>
      <c r="R163" s="61">
        <v>541561</v>
      </c>
      <c r="S163" s="66" t="s">
        <v>843</v>
      </c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 s="61" t="s">
        <v>314</v>
      </c>
      <c r="B164" s="62">
        <v>46086</v>
      </c>
      <c r="C164" s="63" t="s">
        <v>1977</v>
      </c>
      <c r="D164" s="67">
        <v>558</v>
      </c>
      <c r="E164" s="67"/>
      <c r="F164" s="61" t="str">
        <f t="shared" si="2"/>
        <v>借</v>
      </c>
      <c r="G164" s="64">
        <f>SUM(D$6:E164)</f>
        <v>6839299</v>
      </c>
      <c r="H164" s="61"/>
      <c r="I164" s="61" t="s">
        <v>1978</v>
      </c>
      <c r="J164" s="61" t="s">
        <v>114</v>
      </c>
      <c r="K164" s="64">
        <v>558</v>
      </c>
      <c r="L164" s="61"/>
      <c r="M164" s="65" t="s">
        <v>299</v>
      </c>
      <c r="N164" s="61"/>
      <c r="O164" s="61"/>
      <c r="P164" s="61"/>
      <c r="Q164" s="61"/>
      <c r="R164" s="61">
        <v>541561</v>
      </c>
      <c r="S164" s="66" t="s">
        <v>843</v>
      </c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 s="61" t="s">
        <v>314</v>
      </c>
      <c r="B165" s="62">
        <v>46086</v>
      </c>
      <c r="C165" s="63" t="s">
        <v>1979</v>
      </c>
      <c r="D165" s="67">
        <v>30000</v>
      </c>
      <c r="E165" s="67"/>
      <c r="F165" s="61" t="str">
        <f t="shared" si="2"/>
        <v>借</v>
      </c>
      <c r="G165" s="64">
        <f>SUM(D$6:E165)</f>
        <v>6869299</v>
      </c>
      <c r="H165" s="61" t="s">
        <v>333</v>
      </c>
      <c r="I165" s="61" t="s">
        <v>1980</v>
      </c>
      <c r="J165" s="61" t="s">
        <v>114</v>
      </c>
      <c r="K165" s="64">
        <v>30000</v>
      </c>
      <c r="L165" s="61"/>
      <c r="M165" s="65" t="s">
        <v>334</v>
      </c>
      <c r="N165" s="61"/>
      <c r="O165" s="61"/>
      <c r="P165" s="61"/>
      <c r="Q165" s="61"/>
      <c r="R165" s="61">
        <v>541601</v>
      </c>
      <c r="S165" s="66" t="s">
        <v>843</v>
      </c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 s="61" t="s">
        <v>314</v>
      </c>
      <c r="B166" s="62">
        <v>46086</v>
      </c>
      <c r="C166" s="63" t="s">
        <v>1850</v>
      </c>
      <c r="D166" s="67">
        <v>90000</v>
      </c>
      <c r="E166" s="67"/>
      <c r="F166" s="61" t="str">
        <f t="shared" si="2"/>
        <v>借</v>
      </c>
      <c r="G166" s="64">
        <f>SUM(D$6:E166)</f>
        <v>6959299</v>
      </c>
      <c r="H166" s="61" t="s">
        <v>1132</v>
      </c>
      <c r="I166" s="61" t="s">
        <v>1851</v>
      </c>
      <c r="J166" s="61" t="s">
        <v>114</v>
      </c>
      <c r="K166" s="64">
        <v>90000</v>
      </c>
      <c r="L166" s="61"/>
      <c r="M166" s="65" t="s">
        <v>1852</v>
      </c>
      <c r="N166" s="61"/>
      <c r="O166" s="61"/>
      <c r="P166" s="61"/>
      <c r="Q166" s="61"/>
      <c r="R166" s="61">
        <v>541601</v>
      </c>
      <c r="S166" s="66" t="s">
        <v>843</v>
      </c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 s="61" t="s">
        <v>314</v>
      </c>
      <c r="B167" s="62">
        <v>46086</v>
      </c>
      <c r="C167" s="63" t="s">
        <v>1855</v>
      </c>
      <c r="D167" s="67">
        <v>90000</v>
      </c>
      <c r="E167" s="67"/>
      <c r="F167" s="61" t="str">
        <f t="shared" si="2"/>
        <v>借</v>
      </c>
      <c r="G167" s="64">
        <f>SUM(D$6:E167)</f>
        <v>7049299</v>
      </c>
      <c r="H167" s="61" t="s">
        <v>1132</v>
      </c>
      <c r="I167" s="61" t="s">
        <v>1856</v>
      </c>
      <c r="J167" s="61" t="s">
        <v>114</v>
      </c>
      <c r="K167" s="64">
        <v>90000</v>
      </c>
      <c r="L167" s="61"/>
      <c r="M167" s="65" t="s">
        <v>1302</v>
      </c>
      <c r="N167" s="61"/>
      <c r="O167" s="61"/>
      <c r="P167" s="61"/>
      <c r="Q167" s="61"/>
      <c r="R167" s="61">
        <v>541601</v>
      </c>
      <c r="S167" s="66" t="s">
        <v>843</v>
      </c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 s="61" t="s">
        <v>314</v>
      </c>
      <c r="B168" s="62">
        <v>46086</v>
      </c>
      <c r="C168" s="63" t="s">
        <v>1861</v>
      </c>
      <c r="D168" s="67">
        <v>200000</v>
      </c>
      <c r="E168" s="67"/>
      <c r="F168" s="61" t="str">
        <f t="shared" si="2"/>
        <v>借</v>
      </c>
      <c r="G168" s="64">
        <f>SUM(D$6:E168)</f>
        <v>7249299</v>
      </c>
      <c r="H168" s="61" t="s">
        <v>1132</v>
      </c>
      <c r="I168" s="61" t="s">
        <v>1862</v>
      </c>
      <c r="J168" s="61" t="s">
        <v>114</v>
      </c>
      <c r="K168" s="64">
        <v>200000</v>
      </c>
      <c r="L168" s="61"/>
      <c r="M168" s="65" t="s">
        <v>1863</v>
      </c>
      <c r="N168" s="61"/>
      <c r="O168" s="61"/>
      <c r="P168" s="61"/>
      <c r="Q168" s="61"/>
      <c r="R168" s="61">
        <v>541601</v>
      </c>
      <c r="S168" s="66" t="s">
        <v>843</v>
      </c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 s="61" t="s">
        <v>314</v>
      </c>
      <c r="B169" s="62">
        <v>46086</v>
      </c>
      <c r="C169" s="63" t="s">
        <v>1866</v>
      </c>
      <c r="D169" s="67">
        <v>90000</v>
      </c>
      <c r="E169" s="67"/>
      <c r="F169" s="61" t="str">
        <f t="shared" si="2"/>
        <v>借</v>
      </c>
      <c r="G169" s="64">
        <f>SUM(D$6:E169)</f>
        <v>7339299</v>
      </c>
      <c r="H169" s="61" t="s">
        <v>1132</v>
      </c>
      <c r="I169" s="61" t="s">
        <v>1867</v>
      </c>
      <c r="J169" s="61" t="s">
        <v>114</v>
      </c>
      <c r="K169" s="64">
        <v>90000</v>
      </c>
      <c r="L169" s="61"/>
      <c r="M169" s="65" t="s">
        <v>1662</v>
      </c>
      <c r="N169" s="61"/>
      <c r="O169" s="61"/>
      <c r="P169" s="61"/>
      <c r="Q169" s="61"/>
      <c r="R169" s="61">
        <v>541601</v>
      </c>
      <c r="S169" s="66" t="s">
        <v>843</v>
      </c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 s="61" t="s">
        <v>314</v>
      </c>
      <c r="B170" s="62">
        <v>46086</v>
      </c>
      <c r="C170" s="63" t="s">
        <v>1870</v>
      </c>
      <c r="D170" s="67">
        <v>90000</v>
      </c>
      <c r="E170" s="67"/>
      <c r="F170" s="61" t="str">
        <f t="shared" si="2"/>
        <v>借</v>
      </c>
      <c r="G170" s="64">
        <f>SUM(D$6:E170)</f>
        <v>7429299</v>
      </c>
      <c r="H170" s="61" t="s">
        <v>1132</v>
      </c>
      <c r="I170" s="61" t="s">
        <v>1871</v>
      </c>
      <c r="J170" s="61" t="s">
        <v>114</v>
      </c>
      <c r="K170" s="64">
        <v>90000</v>
      </c>
      <c r="L170" s="61"/>
      <c r="M170" s="65" t="s">
        <v>1872</v>
      </c>
      <c r="N170" s="61"/>
      <c r="O170" s="61"/>
      <c r="P170" s="61"/>
      <c r="Q170" s="61"/>
      <c r="R170" s="61">
        <v>541601</v>
      </c>
      <c r="S170" s="66" t="s">
        <v>843</v>
      </c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 s="61" t="s">
        <v>314</v>
      </c>
      <c r="B171" s="62">
        <v>46086</v>
      </c>
      <c r="C171" s="63" t="s">
        <v>1879</v>
      </c>
      <c r="D171" s="67">
        <v>30000</v>
      </c>
      <c r="E171" s="67"/>
      <c r="F171" s="61" t="str">
        <f t="shared" si="2"/>
        <v>借</v>
      </c>
      <c r="G171" s="64">
        <f>SUM(D$6:E171)</f>
        <v>7459299</v>
      </c>
      <c r="H171" s="61" t="s">
        <v>336</v>
      </c>
      <c r="I171" s="61" t="s">
        <v>1880</v>
      </c>
      <c r="J171" s="61" t="s">
        <v>114</v>
      </c>
      <c r="K171" s="64">
        <v>30000</v>
      </c>
      <c r="L171" s="61"/>
      <c r="M171" s="65" t="s">
        <v>1305</v>
      </c>
      <c r="N171" s="61"/>
      <c r="O171" s="61"/>
      <c r="P171" s="61"/>
      <c r="Q171" s="61"/>
      <c r="R171" s="61">
        <v>541601</v>
      </c>
      <c r="S171" s="66" t="s">
        <v>843</v>
      </c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 s="61" t="s">
        <v>314</v>
      </c>
      <c r="B172" s="62">
        <v>46086</v>
      </c>
      <c r="C172" s="63" t="s">
        <v>1883</v>
      </c>
      <c r="D172" s="67">
        <v>60000</v>
      </c>
      <c r="E172" s="67"/>
      <c r="F172" s="61" t="str">
        <f t="shared" si="2"/>
        <v>借</v>
      </c>
      <c r="G172" s="64">
        <f>SUM(D$6:E172)</f>
        <v>7519299</v>
      </c>
      <c r="H172" s="61" t="s">
        <v>336</v>
      </c>
      <c r="I172" s="61" t="s">
        <v>1884</v>
      </c>
      <c r="J172" s="61" t="s">
        <v>114</v>
      </c>
      <c r="K172" s="64">
        <v>60000</v>
      </c>
      <c r="L172" s="61"/>
      <c r="M172" s="65" t="s">
        <v>294</v>
      </c>
      <c r="N172" s="61"/>
      <c r="O172" s="61"/>
      <c r="P172" s="61"/>
      <c r="Q172" s="61"/>
      <c r="R172" s="61">
        <v>541601</v>
      </c>
      <c r="S172" s="66" t="s">
        <v>843</v>
      </c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 s="61" t="s">
        <v>314</v>
      </c>
      <c r="B173" s="62">
        <v>46086</v>
      </c>
      <c r="C173" s="63" t="s">
        <v>1887</v>
      </c>
      <c r="D173" s="67">
        <v>150000</v>
      </c>
      <c r="E173" s="67"/>
      <c r="F173" s="61" t="str">
        <f t="shared" si="2"/>
        <v>借</v>
      </c>
      <c r="G173" s="64">
        <f>SUM(D$6:E173)</f>
        <v>7669299</v>
      </c>
      <c r="H173" s="61" t="s">
        <v>332</v>
      </c>
      <c r="I173" s="61" t="s">
        <v>1888</v>
      </c>
      <c r="J173" s="61" t="s">
        <v>114</v>
      </c>
      <c r="K173" s="64">
        <v>150000</v>
      </c>
      <c r="L173" s="61"/>
      <c r="M173" s="65" t="s">
        <v>1889</v>
      </c>
      <c r="N173" s="61"/>
      <c r="O173" s="61"/>
      <c r="P173" s="61"/>
      <c r="Q173" s="61"/>
      <c r="R173" s="61">
        <v>541601</v>
      </c>
      <c r="S173" s="66" t="s">
        <v>843</v>
      </c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 s="61" t="s">
        <v>314</v>
      </c>
      <c r="B174" s="62">
        <v>46086</v>
      </c>
      <c r="C174" s="63" t="s">
        <v>1897</v>
      </c>
      <c r="D174" s="67">
        <v>3660</v>
      </c>
      <c r="E174" s="67"/>
      <c r="F174" s="61" t="str">
        <f t="shared" si="2"/>
        <v>借</v>
      </c>
      <c r="G174" s="64">
        <f>SUM(D$6:E174)</f>
        <v>7672959</v>
      </c>
      <c r="H174" s="61" t="s">
        <v>333</v>
      </c>
      <c r="I174" s="61" t="s">
        <v>1898</v>
      </c>
      <c r="J174" s="61" t="s">
        <v>114</v>
      </c>
      <c r="K174" s="64">
        <v>3660</v>
      </c>
      <c r="L174" s="61"/>
      <c r="M174" s="65" t="s">
        <v>1418</v>
      </c>
      <c r="N174" s="61"/>
      <c r="O174" s="61"/>
      <c r="P174" s="61"/>
      <c r="Q174" s="61"/>
      <c r="R174" s="61">
        <v>541820</v>
      </c>
      <c r="S174" s="66" t="s">
        <v>843</v>
      </c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 s="61" t="s">
        <v>314</v>
      </c>
      <c r="B175" s="62">
        <v>46086</v>
      </c>
      <c r="C175" s="63" t="s">
        <v>1981</v>
      </c>
      <c r="D175" s="67">
        <v>300000</v>
      </c>
      <c r="E175" s="67"/>
      <c r="F175" s="61" t="str">
        <f t="shared" si="2"/>
        <v>借</v>
      </c>
      <c r="G175" s="64">
        <f>SUM(D$6:E175)</f>
        <v>7972959</v>
      </c>
      <c r="H175" s="61" t="s">
        <v>1132</v>
      </c>
      <c r="I175" s="61" t="s">
        <v>1982</v>
      </c>
      <c r="J175" s="61" t="s">
        <v>236</v>
      </c>
      <c r="K175" s="64">
        <v>9466.7099999999991</v>
      </c>
      <c r="L175" s="61"/>
      <c r="M175" s="65" t="s">
        <v>1983</v>
      </c>
      <c r="N175" s="61"/>
      <c r="O175" s="61"/>
      <c r="P175" s="61"/>
      <c r="Q175" s="61"/>
      <c r="R175" s="61">
        <v>541601</v>
      </c>
      <c r="S175" s="66" t="s">
        <v>843</v>
      </c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 s="61" t="s">
        <v>314</v>
      </c>
      <c r="B176" s="62">
        <v>46086</v>
      </c>
      <c r="C176" s="63" t="s">
        <v>1984</v>
      </c>
      <c r="D176" s="67">
        <v>30000</v>
      </c>
      <c r="E176" s="67"/>
      <c r="F176" s="61" t="str">
        <f t="shared" si="2"/>
        <v>借</v>
      </c>
      <c r="G176" s="64">
        <f>SUM(D$6:E176)</f>
        <v>8002959</v>
      </c>
      <c r="H176" s="61" t="s">
        <v>332</v>
      </c>
      <c r="I176" s="61" t="s">
        <v>1985</v>
      </c>
      <c r="J176" s="61" t="s">
        <v>236</v>
      </c>
      <c r="K176" s="64">
        <v>946.67</v>
      </c>
      <c r="L176" s="61"/>
      <c r="M176" s="65" t="s">
        <v>1986</v>
      </c>
      <c r="N176" s="61"/>
      <c r="O176" s="61"/>
      <c r="P176" s="61"/>
      <c r="Q176" s="61"/>
      <c r="R176" s="61">
        <v>541601</v>
      </c>
      <c r="S176" s="66" t="s">
        <v>843</v>
      </c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 s="61" t="s">
        <v>314</v>
      </c>
      <c r="B177" s="62">
        <v>46087</v>
      </c>
      <c r="C177" s="63" t="s">
        <v>1987</v>
      </c>
      <c r="D177" s="67">
        <v>1381</v>
      </c>
      <c r="E177" s="67"/>
      <c r="F177" s="61" t="str">
        <f t="shared" si="2"/>
        <v>借</v>
      </c>
      <c r="G177" s="64">
        <f>SUM(D$6:E177)</f>
        <v>8004340</v>
      </c>
      <c r="H177" s="61"/>
      <c r="I177" s="61" t="s">
        <v>1988</v>
      </c>
      <c r="J177" s="61" t="s">
        <v>317</v>
      </c>
      <c r="K177" s="64">
        <v>298.55</v>
      </c>
      <c r="L177" s="61"/>
      <c r="M177" s="65" t="s">
        <v>224</v>
      </c>
      <c r="N177" s="61"/>
      <c r="O177" s="61"/>
      <c r="P177" s="61"/>
      <c r="Q177" s="61"/>
      <c r="R177" s="61">
        <v>541582</v>
      </c>
      <c r="S177" s="66" t="s">
        <v>237</v>
      </c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 s="61" t="s">
        <v>314</v>
      </c>
      <c r="B178" s="62">
        <v>46087</v>
      </c>
      <c r="C178" s="63" t="s">
        <v>1989</v>
      </c>
      <c r="D178" s="67">
        <v>22592</v>
      </c>
      <c r="E178" s="67"/>
      <c r="F178" s="61" t="str">
        <f t="shared" si="2"/>
        <v>借</v>
      </c>
      <c r="G178" s="64">
        <f>SUM(D$6:E178)</f>
        <v>8026932</v>
      </c>
      <c r="H178" s="61"/>
      <c r="I178" s="61" t="s">
        <v>1990</v>
      </c>
      <c r="J178" s="61" t="s">
        <v>317</v>
      </c>
      <c r="K178" s="64">
        <v>4885.58</v>
      </c>
      <c r="L178" s="61"/>
      <c r="M178" s="65" t="s">
        <v>224</v>
      </c>
      <c r="N178" s="61"/>
      <c r="O178" s="61"/>
      <c r="P178" s="61"/>
      <c r="Q178" s="61"/>
      <c r="R178" s="61">
        <v>541582</v>
      </c>
      <c r="S178" s="66" t="s">
        <v>237</v>
      </c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 s="61" t="s">
        <v>314</v>
      </c>
      <c r="B179" s="62">
        <v>46087</v>
      </c>
      <c r="C179" s="63" t="s">
        <v>1993</v>
      </c>
      <c r="D179" s="67">
        <v>3401</v>
      </c>
      <c r="E179" s="67"/>
      <c r="F179" s="61" t="str">
        <f t="shared" si="2"/>
        <v>借</v>
      </c>
      <c r="G179" s="64">
        <f>SUM(D$6:E179)</f>
        <v>8030333</v>
      </c>
      <c r="H179" s="61"/>
      <c r="I179" s="61" t="s">
        <v>1994</v>
      </c>
      <c r="J179" s="61" t="s">
        <v>337</v>
      </c>
      <c r="K179" s="64">
        <v>91.77</v>
      </c>
      <c r="L179" s="61"/>
      <c r="M179" s="65" t="s">
        <v>224</v>
      </c>
      <c r="N179" s="61"/>
      <c r="O179" s="61"/>
      <c r="P179" s="61"/>
      <c r="Q179" s="61"/>
      <c r="R179" s="61">
        <v>541237</v>
      </c>
      <c r="S179" s="66" t="s">
        <v>237</v>
      </c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 s="61" t="s">
        <v>314</v>
      </c>
      <c r="B180" s="62">
        <v>46087</v>
      </c>
      <c r="C180" s="63" t="s">
        <v>1991</v>
      </c>
      <c r="D180" s="67">
        <v>9658</v>
      </c>
      <c r="E180" s="67"/>
      <c r="F180" s="61" t="str">
        <f t="shared" si="2"/>
        <v>借</v>
      </c>
      <c r="G180" s="64">
        <f>SUM(D$6:E180)</f>
        <v>8039991</v>
      </c>
      <c r="H180" s="61"/>
      <c r="I180" s="61" t="s">
        <v>1992</v>
      </c>
      <c r="J180" s="61" t="s">
        <v>337</v>
      </c>
      <c r="K180" s="64">
        <v>260.66000000000003</v>
      </c>
      <c r="L180" s="61"/>
      <c r="M180" s="65" t="s">
        <v>224</v>
      </c>
      <c r="N180" s="61"/>
      <c r="O180" s="61"/>
      <c r="P180" s="61"/>
      <c r="Q180" s="61"/>
      <c r="R180" s="61">
        <v>541237</v>
      </c>
      <c r="S180" s="66" t="s">
        <v>237</v>
      </c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 s="61" t="s">
        <v>314</v>
      </c>
      <c r="B181" s="62">
        <v>46087</v>
      </c>
      <c r="C181" s="63" t="s">
        <v>1995</v>
      </c>
      <c r="D181" s="67">
        <v>2932</v>
      </c>
      <c r="E181" s="67"/>
      <c r="F181" s="61" t="str">
        <f t="shared" si="2"/>
        <v>借</v>
      </c>
      <c r="G181" s="64">
        <f>SUM(D$6:E181)</f>
        <v>8042923</v>
      </c>
      <c r="H181" s="61"/>
      <c r="I181" s="61" t="s">
        <v>1996</v>
      </c>
      <c r="J181" s="61" t="s">
        <v>1520</v>
      </c>
      <c r="K181" s="64">
        <v>8467.68</v>
      </c>
      <c r="L181" s="61"/>
      <c r="M181" s="65" t="s">
        <v>224</v>
      </c>
      <c r="N181" s="61"/>
      <c r="O181" s="61"/>
      <c r="P181" s="61"/>
      <c r="Q181" s="61"/>
      <c r="R181" s="61">
        <v>541582</v>
      </c>
      <c r="S181" s="66" t="s">
        <v>237</v>
      </c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 s="61" t="s">
        <v>314</v>
      </c>
      <c r="B182" s="62">
        <v>46087</v>
      </c>
      <c r="C182" s="63" t="s">
        <v>1997</v>
      </c>
      <c r="D182" s="67">
        <v>297583</v>
      </c>
      <c r="E182" s="67"/>
      <c r="F182" s="61" t="str">
        <f t="shared" si="2"/>
        <v>借</v>
      </c>
      <c r="G182" s="64">
        <f>SUM(D$6:E182)</f>
        <v>8340506</v>
      </c>
      <c r="H182" s="61"/>
      <c r="I182" s="61" t="s">
        <v>1998</v>
      </c>
      <c r="J182" s="61" t="s">
        <v>338</v>
      </c>
      <c r="K182" s="64">
        <v>13713499</v>
      </c>
      <c r="L182" s="61"/>
      <c r="M182" s="65" t="s">
        <v>224</v>
      </c>
      <c r="N182" s="61"/>
      <c r="O182" s="61"/>
      <c r="P182" s="61"/>
      <c r="Q182" s="61"/>
      <c r="R182" s="61">
        <v>541237</v>
      </c>
      <c r="S182" s="66" t="s">
        <v>237</v>
      </c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 s="61" t="s">
        <v>314</v>
      </c>
      <c r="B183" s="62">
        <v>46090</v>
      </c>
      <c r="C183" s="63" t="s">
        <v>1999</v>
      </c>
      <c r="D183" s="67">
        <v>1714</v>
      </c>
      <c r="E183" s="67"/>
      <c r="F183" s="61" t="str">
        <f t="shared" si="2"/>
        <v>借</v>
      </c>
      <c r="G183" s="64">
        <f>SUM(D$6:E183)</f>
        <v>8342220</v>
      </c>
      <c r="H183" s="61"/>
      <c r="I183" s="61" t="s">
        <v>2000</v>
      </c>
      <c r="J183" s="61" t="s">
        <v>2001</v>
      </c>
      <c r="K183" s="64">
        <v>284.5</v>
      </c>
      <c r="L183" s="61"/>
      <c r="M183" s="65" t="s">
        <v>224</v>
      </c>
      <c r="N183" s="61"/>
      <c r="O183" s="61"/>
      <c r="P183" s="61"/>
      <c r="Q183" s="61"/>
      <c r="R183" s="61">
        <v>541734</v>
      </c>
      <c r="S183" s="66" t="s">
        <v>237</v>
      </c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 s="61" t="s">
        <v>314</v>
      </c>
      <c r="B184" s="62">
        <v>46090</v>
      </c>
      <c r="C184" s="63" t="s">
        <v>2002</v>
      </c>
      <c r="D184" s="67">
        <v>1029</v>
      </c>
      <c r="E184" s="67"/>
      <c r="F184" s="61" t="str">
        <f t="shared" si="2"/>
        <v>借</v>
      </c>
      <c r="G184" s="64">
        <f>SUM(D$6:E184)</f>
        <v>8343249</v>
      </c>
      <c r="H184" s="61"/>
      <c r="I184" s="61" t="s">
        <v>2003</v>
      </c>
      <c r="J184" s="61" t="s">
        <v>317</v>
      </c>
      <c r="K184" s="64">
        <v>222.58</v>
      </c>
      <c r="L184" s="61"/>
      <c r="M184" s="65" t="s">
        <v>224</v>
      </c>
      <c r="N184" s="61"/>
      <c r="O184" s="61"/>
      <c r="P184" s="61"/>
      <c r="Q184" s="61"/>
      <c r="R184" s="61">
        <v>541741</v>
      </c>
      <c r="S184" s="66" t="s">
        <v>237</v>
      </c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 s="61" t="s">
        <v>314</v>
      </c>
      <c r="B185" s="62">
        <v>46090</v>
      </c>
      <c r="C185" s="63" t="s">
        <v>2004</v>
      </c>
      <c r="D185" s="67">
        <v>906</v>
      </c>
      <c r="E185" s="67"/>
      <c r="F185" s="61" t="str">
        <f t="shared" si="2"/>
        <v>借</v>
      </c>
      <c r="G185" s="64">
        <f>SUM(D$6:E185)</f>
        <v>8344155</v>
      </c>
      <c r="H185" s="61"/>
      <c r="I185" s="61" t="s">
        <v>2005</v>
      </c>
      <c r="J185" s="61" t="s">
        <v>317</v>
      </c>
      <c r="K185" s="64">
        <v>196.07</v>
      </c>
      <c r="L185" s="61"/>
      <c r="M185" s="65" t="s">
        <v>224</v>
      </c>
      <c r="N185" s="61"/>
      <c r="O185" s="61"/>
      <c r="P185" s="61"/>
      <c r="Q185" s="61"/>
      <c r="R185" s="61">
        <v>541741</v>
      </c>
      <c r="S185" s="66" t="s">
        <v>237</v>
      </c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 s="61" t="s">
        <v>314</v>
      </c>
      <c r="B186" s="62">
        <v>46090</v>
      </c>
      <c r="C186" s="63" t="s">
        <v>2006</v>
      </c>
      <c r="D186" s="67">
        <v>187224</v>
      </c>
      <c r="E186" s="67"/>
      <c r="F186" s="61" t="str">
        <f t="shared" si="2"/>
        <v>借</v>
      </c>
      <c r="G186" s="64">
        <f>SUM(D$6:E186)</f>
        <v>8531379</v>
      </c>
      <c r="H186" s="61"/>
      <c r="I186" s="61" t="s">
        <v>2007</v>
      </c>
      <c r="J186" s="61" t="s">
        <v>338</v>
      </c>
      <c r="K186" s="64">
        <v>8627818</v>
      </c>
      <c r="L186" s="61"/>
      <c r="M186" s="65" t="s">
        <v>224</v>
      </c>
      <c r="N186" s="61"/>
      <c r="O186" s="61"/>
      <c r="P186" s="61"/>
      <c r="Q186" s="61"/>
      <c r="R186" s="61">
        <v>541734</v>
      </c>
      <c r="S186" s="66" t="s">
        <v>237</v>
      </c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 s="61" t="s">
        <v>314</v>
      </c>
      <c r="B187" s="62">
        <v>46090</v>
      </c>
      <c r="C187" s="63" t="s">
        <v>2008</v>
      </c>
      <c r="D187" s="67">
        <v>80000</v>
      </c>
      <c r="E187" s="67"/>
      <c r="F187" s="61" t="str">
        <f t="shared" si="2"/>
        <v>借</v>
      </c>
      <c r="G187" s="64">
        <f>SUM(D$6:E187)</f>
        <v>8611379</v>
      </c>
      <c r="H187" s="61" t="s">
        <v>1294</v>
      </c>
      <c r="I187" s="61" t="s">
        <v>2009</v>
      </c>
      <c r="J187" s="61" t="s">
        <v>114</v>
      </c>
      <c r="K187" s="64">
        <v>80000</v>
      </c>
      <c r="L187" s="61"/>
      <c r="M187" s="65" t="s">
        <v>2010</v>
      </c>
      <c r="N187" s="61"/>
      <c r="O187" s="61"/>
      <c r="P187" s="61"/>
      <c r="Q187" s="61"/>
      <c r="R187" s="61">
        <v>541663</v>
      </c>
      <c r="S187" s="66" t="s">
        <v>843</v>
      </c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 s="61" t="s">
        <v>314</v>
      </c>
      <c r="B188" s="62">
        <v>46090</v>
      </c>
      <c r="C188" s="63" t="s">
        <v>2011</v>
      </c>
      <c r="D188" s="67">
        <v>80000</v>
      </c>
      <c r="E188" s="67"/>
      <c r="F188" s="61" t="str">
        <f t="shared" si="2"/>
        <v>借</v>
      </c>
      <c r="G188" s="64">
        <f>SUM(D$6:E188)</f>
        <v>8691379</v>
      </c>
      <c r="H188" s="61" t="s">
        <v>1294</v>
      </c>
      <c r="I188" s="61" t="s">
        <v>2012</v>
      </c>
      <c r="J188" s="61" t="s">
        <v>114</v>
      </c>
      <c r="K188" s="64">
        <v>80000</v>
      </c>
      <c r="L188" s="61"/>
      <c r="M188" s="65" t="s">
        <v>2010</v>
      </c>
      <c r="N188" s="61"/>
      <c r="O188" s="61"/>
      <c r="P188" s="61"/>
      <c r="Q188" s="61"/>
      <c r="R188" s="61">
        <v>541663</v>
      </c>
      <c r="S188" s="66" t="s">
        <v>843</v>
      </c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 s="61" t="s">
        <v>314</v>
      </c>
      <c r="B189" s="62">
        <v>46091</v>
      </c>
      <c r="C189" s="63" t="s">
        <v>2053</v>
      </c>
      <c r="D189" s="67">
        <v>1854</v>
      </c>
      <c r="E189" s="67"/>
      <c r="F189" s="61" t="str">
        <f t="shared" si="2"/>
        <v>借</v>
      </c>
      <c r="G189" s="64">
        <f>SUM(D$6:E189)</f>
        <v>8693233</v>
      </c>
      <c r="H189" s="61"/>
      <c r="I189" s="61" t="s">
        <v>2054</v>
      </c>
      <c r="J189" s="61" t="s">
        <v>337</v>
      </c>
      <c r="K189" s="64">
        <v>50.05</v>
      </c>
      <c r="L189" s="61"/>
      <c r="M189" s="65" t="s">
        <v>224</v>
      </c>
      <c r="N189" s="61"/>
      <c r="O189" s="61"/>
      <c r="P189" s="61"/>
      <c r="Q189" s="61"/>
      <c r="R189" s="61">
        <v>542171</v>
      </c>
      <c r="S189" s="66" t="s">
        <v>237</v>
      </c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 s="61" t="s">
        <v>314</v>
      </c>
      <c r="B190" s="62">
        <v>46091</v>
      </c>
      <c r="C190" s="63" t="s">
        <v>2055</v>
      </c>
      <c r="D190" s="67">
        <v>478992</v>
      </c>
      <c r="E190" s="67"/>
      <c r="F190" s="61" t="str">
        <f t="shared" si="2"/>
        <v>借</v>
      </c>
      <c r="G190" s="64">
        <f>SUM(D$6:E190)</f>
        <v>9172225</v>
      </c>
      <c r="H190" s="61"/>
      <c r="I190" s="61" t="s">
        <v>2056</v>
      </c>
      <c r="J190" s="61" t="s">
        <v>338</v>
      </c>
      <c r="K190" s="64">
        <v>22073343</v>
      </c>
      <c r="L190" s="61"/>
      <c r="M190" s="65" t="s">
        <v>224</v>
      </c>
      <c r="N190" s="61"/>
      <c r="O190" s="61"/>
      <c r="P190" s="61"/>
      <c r="Q190" s="61"/>
      <c r="R190" s="61">
        <v>542171</v>
      </c>
      <c r="S190" s="66" t="s">
        <v>237</v>
      </c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 s="61" t="s">
        <v>314</v>
      </c>
      <c r="B191" s="62">
        <v>46091</v>
      </c>
      <c r="C191" s="63" t="s">
        <v>2013</v>
      </c>
      <c r="D191" s="67">
        <v>100000</v>
      </c>
      <c r="E191" s="67"/>
      <c r="F191" s="61" t="str">
        <f t="shared" si="2"/>
        <v>借</v>
      </c>
      <c r="G191" s="64">
        <f>SUM(D$6:E191)</f>
        <v>9272225</v>
      </c>
      <c r="H191" s="61" t="s">
        <v>1132</v>
      </c>
      <c r="I191" s="61" t="s">
        <v>2014</v>
      </c>
      <c r="J191" s="61" t="s">
        <v>114</v>
      </c>
      <c r="K191" s="64">
        <v>100000</v>
      </c>
      <c r="L191" s="61"/>
      <c r="M191" s="65" t="s">
        <v>2015</v>
      </c>
      <c r="N191" s="61"/>
      <c r="O191" s="61"/>
      <c r="P191" s="61"/>
      <c r="Q191" s="61"/>
      <c r="R191" s="61">
        <v>541821</v>
      </c>
      <c r="S191" s="66" t="s">
        <v>843</v>
      </c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 s="61" t="s">
        <v>314</v>
      </c>
      <c r="B192" s="62">
        <v>46092</v>
      </c>
      <c r="C192" s="63" t="s">
        <v>2057</v>
      </c>
      <c r="D192" s="67">
        <v>1835</v>
      </c>
      <c r="E192" s="67"/>
      <c r="F192" s="61" t="str">
        <f t="shared" si="2"/>
        <v>借</v>
      </c>
      <c r="G192" s="64">
        <f>SUM(D$6:E192)</f>
        <v>9274060</v>
      </c>
      <c r="H192" s="61"/>
      <c r="I192" s="61" t="s">
        <v>2058</v>
      </c>
      <c r="J192" s="61" t="s">
        <v>317</v>
      </c>
      <c r="K192" s="64">
        <v>393.9</v>
      </c>
      <c r="L192" s="61"/>
      <c r="M192" s="65" t="s">
        <v>224</v>
      </c>
      <c r="N192" s="61"/>
      <c r="O192" s="61"/>
      <c r="P192" s="61"/>
      <c r="Q192" s="61"/>
      <c r="R192" s="61">
        <v>542284</v>
      </c>
      <c r="S192" s="66" t="s">
        <v>237</v>
      </c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 s="61" t="s">
        <v>314</v>
      </c>
      <c r="B193" s="62">
        <v>46092</v>
      </c>
      <c r="C193" s="63" t="s">
        <v>2059</v>
      </c>
      <c r="D193" s="67">
        <v>2344</v>
      </c>
      <c r="E193" s="67"/>
      <c r="F193" s="61" t="str">
        <f t="shared" si="2"/>
        <v>借</v>
      </c>
      <c r="G193" s="64">
        <f>SUM(D$6:E193)</f>
        <v>9276404</v>
      </c>
      <c r="H193" s="61"/>
      <c r="I193" s="61" t="s">
        <v>2060</v>
      </c>
      <c r="J193" s="61" t="s">
        <v>317</v>
      </c>
      <c r="K193" s="64">
        <v>503.12</v>
      </c>
      <c r="L193" s="61"/>
      <c r="M193" s="65" t="s">
        <v>224</v>
      </c>
      <c r="N193" s="61"/>
      <c r="O193" s="61"/>
      <c r="P193" s="61"/>
      <c r="Q193" s="61"/>
      <c r="R193" s="61">
        <v>542284</v>
      </c>
      <c r="S193" s="66" t="s">
        <v>237</v>
      </c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 s="61" t="s">
        <v>314</v>
      </c>
      <c r="B194" s="62">
        <v>46092</v>
      </c>
      <c r="C194" s="63" t="s">
        <v>2061</v>
      </c>
      <c r="D194" s="67">
        <v>359125</v>
      </c>
      <c r="E194" s="67"/>
      <c r="F194" s="61" t="str">
        <f t="shared" si="2"/>
        <v>借</v>
      </c>
      <c r="G194" s="64">
        <f>SUM(D$6:E194)</f>
        <v>9635529</v>
      </c>
      <c r="H194" s="61"/>
      <c r="I194" s="61" t="s">
        <v>2062</v>
      </c>
      <c r="J194" s="61" t="s">
        <v>338</v>
      </c>
      <c r="K194" s="64">
        <v>16703463</v>
      </c>
      <c r="L194" s="61"/>
      <c r="M194" s="65" t="s">
        <v>224</v>
      </c>
      <c r="N194" s="61"/>
      <c r="O194" s="61"/>
      <c r="P194" s="61"/>
      <c r="Q194" s="61"/>
      <c r="R194" s="61">
        <v>542270</v>
      </c>
      <c r="S194" s="66" t="s">
        <v>237</v>
      </c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 s="61" t="s">
        <v>314</v>
      </c>
      <c r="B195" s="62">
        <v>46093</v>
      </c>
      <c r="C195" s="63" t="s">
        <v>2063</v>
      </c>
      <c r="D195" s="67">
        <v>2428</v>
      </c>
      <c r="E195" s="67"/>
      <c r="F195" s="61" t="str">
        <f t="shared" si="2"/>
        <v>借</v>
      </c>
      <c r="G195" s="64">
        <f>SUM(D$6:E195)</f>
        <v>9637957</v>
      </c>
      <c r="H195" s="61"/>
      <c r="I195" s="61" t="s">
        <v>2064</v>
      </c>
      <c r="J195" s="61" t="s">
        <v>317</v>
      </c>
      <c r="K195" s="64">
        <v>521.95000000000005</v>
      </c>
      <c r="L195" s="61"/>
      <c r="M195" s="65" t="s">
        <v>224</v>
      </c>
      <c r="N195" s="61"/>
      <c r="O195" s="61"/>
      <c r="P195" s="61"/>
      <c r="Q195" s="61"/>
      <c r="R195" s="61">
        <v>542331</v>
      </c>
      <c r="S195" s="66" t="s">
        <v>237</v>
      </c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 s="61" t="s">
        <v>314</v>
      </c>
      <c r="B196" s="62">
        <v>46093</v>
      </c>
      <c r="C196" s="63" t="s">
        <v>2065</v>
      </c>
      <c r="D196" s="67">
        <v>1392</v>
      </c>
      <c r="E196" s="67"/>
      <c r="F196" s="61" t="str">
        <f t="shared" si="2"/>
        <v>借</v>
      </c>
      <c r="G196" s="64">
        <f>SUM(D$6:E196)</f>
        <v>9639349</v>
      </c>
      <c r="H196" s="61"/>
      <c r="I196" s="61" t="s">
        <v>2066</v>
      </c>
      <c r="J196" s="61" t="s">
        <v>317</v>
      </c>
      <c r="K196" s="64">
        <v>299.24</v>
      </c>
      <c r="L196" s="61"/>
      <c r="M196" s="65" t="s">
        <v>224</v>
      </c>
      <c r="N196" s="61"/>
      <c r="O196" s="61"/>
      <c r="P196" s="61"/>
      <c r="Q196" s="61"/>
      <c r="R196" s="61">
        <v>542331</v>
      </c>
      <c r="S196" s="66" t="s">
        <v>237</v>
      </c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 s="61" t="s">
        <v>314</v>
      </c>
      <c r="B197" s="62">
        <v>46093</v>
      </c>
      <c r="C197" s="63" t="s">
        <v>2067</v>
      </c>
      <c r="D197" s="67">
        <v>5479</v>
      </c>
      <c r="E197" s="67"/>
      <c r="F197" s="61" t="str">
        <f t="shared" si="2"/>
        <v>借</v>
      </c>
      <c r="G197" s="64">
        <f>SUM(D$6:E197)</f>
        <v>9644828</v>
      </c>
      <c r="H197" s="61"/>
      <c r="I197" s="61" t="s">
        <v>2068</v>
      </c>
      <c r="J197" s="61" t="s">
        <v>337</v>
      </c>
      <c r="K197" s="64">
        <v>146.72999999999999</v>
      </c>
      <c r="L197" s="61"/>
      <c r="M197" s="65" t="s">
        <v>224</v>
      </c>
      <c r="N197" s="61"/>
      <c r="O197" s="61"/>
      <c r="P197" s="61"/>
      <c r="Q197" s="61"/>
      <c r="R197" s="61">
        <v>542285</v>
      </c>
      <c r="S197" s="66" t="s">
        <v>237</v>
      </c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 s="61" t="s">
        <v>314</v>
      </c>
      <c r="B198" s="62">
        <v>46093</v>
      </c>
      <c r="C198" s="63" t="s">
        <v>2069</v>
      </c>
      <c r="D198" s="67">
        <v>245233</v>
      </c>
      <c r="E198" s="67"/>
      <c r="F198" s="61" t="str">
        <f t="shared" si="2"/>
        <v>借</v>
      </c>
      <c r="G198" s="64">
        <f>SUM(D$6:E198)</f>
        <v>9890061</v>
      </c>
      <c r="H198" s="61"/>
      <c r="I198" s="61" t="s">
        <v>2070</v>
      </c>
      <c r="J198" s="61" t="s">
        <v>338</v>
      </c>
      <c r="K198" s="64">
        <v>11249191</v>
      </c>
      <c r="L198" s="61"/>
      <c r="M198" s="65" t="s">
        <v>224</v>
      </c>
      <c r="N198" s="61"/>
      <c r="O198" s="61"/>
      <c r="P198" s="61"/>
      <c r="Q198" s="61"/>
      <c r="R198" s="61">
        <v>542285</v>
      </c>
      <c r="S198" s="66" t="s">
        <v>237</v>
      </c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 s="61" t="s">
        <v>314</v>
      </c>
      <c r="B199" s="62">
        <v>46094</v>
      </c>
      <c r="C199" s="63" t="s">
        <v>2071</v>
      </c>
      <c r="D199" s="67">
        <v>4989</v>
      </c>
      <c r="E199" s="67"/>
      <c r="F199" s="61" t="str">
        <f t="shared" ref="F199:F262" si="3">IF(G199&gt;0,"借","貸")</f>
        <v>借</v>
      </c>
      <c r="G199" s="64">
        <f>SUM(D$6:E199)</f>
        <v>9895050</v>
      </c>
      <c r="H199" s="61"/>
      <c r="I199" s="61" t="s">
        <v>2072</v>
      </c>
      <c r="J199" s="61" t="s">
        <v>2001</v>
      </c>
      <c r="K199" s="64">
        <v>809.69</v>
      </c>
      <c r="L199" s="61"/>
      <c r="M199" s="65" t="s">
        <v>224</v>
      </c>
      <c r="N199" s="61"/>
      <c r="O199" s="61"/>
      <c r="P199" s="61"/>
      <c r="Q199" s="61"/>
      <c r="R199" s="61">
        <v>542333</v>
      </c>
      <c r="S199" s="66" t="s">
        <v>237</v>
      </c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 s="61" t="s">
        <v>314</v>
      </c>
      <c r="B200" s="62">
        <v>46094</v>
      </c>
      <c r="C200" s="63" t="s">
        <v>2073</v>
      </c>
      <c r="D200" s="67">
        <v>34742</v>
      </c>
      <c r="E200" s="67"/>
      <c r="F200" s="61" t="str">
        <f t="shared" si="3"/>
        <v>借</v>
      </c>
      <c r="G200" s="64">
        <f>SUM(D$6:E200)</f>
        <v>9929792</v>
      </c>
      <c r="H200" s="61"/>
      <c r="I200" s="61" t="s">
        <v>2074</v>
      </c>
      <c r="J200" s="61" t="s">
        <v>337</v>
      </c>
      <c r="K200" s="64">
        <v>935.79</v>
      </c>
      <c r="L200" s="61"/>
      <c r="M200" s="65" t="s">
        <v>224</v>
      </c>
      <c r="N200" s="61"/>
      <c r="O200" s="61"/>
      <c r="P200" s="61"/>
      <c r="Q200" s="61"/>
      <c r="R200" s="61">
        <v>542333</v>
      </c>
      <c r="S200" s="66" t="s">
        <v>237</v>
      </c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 s="61" t="s">
        <v>314</v>
      </c>
      <c r="B201" s="62">
        <v>46094</v>
      </c>
      <c r="C201" s="63" t="s">
        <v>2075</v>
      </c>
      <c r="D201" s="67">
        <v>19723</v>
      </c>
      <c r="E201" s="67"/>
      <c r="F201" s="61" t="str">
        <f t="shared" si="3"/>
        <v>借</v>
      </c>
      <c r="G201" s="64">
        <f>SUM(D$6:E201)</f>
        <v>9949515</v>
      </c>
      <c r="H201" s="61"/>
      <c r="I201" s="61" t="s">
        <v>2076</v>
      </c>
      <c r="J201" s="61" t="s">
        <v>337</v>
      </c>
      <c r="K201" s="64">
        <v>531.25</v>
      </c>
      <c r="L201" s="61"/>
      <c r="M201" s="65" t="s">
        <v>224</v>
      </c>
      <c r="N201" s="61"/>
      <c r="O201" s="61"/>
      <c r="P201" s="61"/>
      <c r="Q201" s="61"/>
      <c r="R201" s="61">
        <v>542333</v>
      </c>
      <c r="S201" s="66" t="s">
        <v>237</v>
      </c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 s="61" t="s">
        <v>314</v>
      </c>
      <c r="B202" s="62">
        <v>46094</v>
      </c>
      <c r="C202" s="63" t="s">
        <v>2077</v>
      </c>
      <c r="D202" s="67">
        <v>276273</v>
      </c>
      <c r="E202" s="67"/>
      <c r="F202" s="61" t="str">
        <f t="shared" si="3"/>
        <v>借</v>
      </c>
      <c r="G202" s="64">
        <f>SUM(D$6:E202)</f>
        <v>10225788</v>
      </c>
      <c r="H202" s="61"/>
      <c r="I202" s="61" t="s">
        <v>2078</v>
      </c>
      <c r="J202" s="61" t="s">
        <v>338</v>
      </c>
      <c r="K202" s="64">
        <v>12731419</v>
      </c>
      <c r="L202" s="61"/>
      <c r="M202" s="65" t="s">
        <v>224</v>
      </c>
      <c r="N202" s="61"/>
      <c r="O202" s="61"/>
      <c r="P202" s="61"/>
      <c r="Q202" s="61"/>
      <c r="R202" s="61">
        <v>542333</v>
      </c>
      <c r="S202" s="66" t="s">
        <v>237</v>
      </c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 s="61" t="s">
        <v>314</v>
      </c>
      <c r="B203" s="62">
        <v>46094</v>
      </c>
      <c r="C203" s="63" t="s">
        <v>2079</v>
      </c>
      <c r="D203" s="67">
        <v>3064</v>
      </c>
      <c r="E203" s="67"/>
      <c r="F203" s="61" t="str">
        <f t="shared" si="3"/>
        <v>借</v>
      </c>
      <c r="G203" s="64">
        <f>SUM(D$6:E203)</f>
        <v>10228852</v>
      </c>
      <c r="H203" s="61"/>
      <c r="I203" s="61" t="s">
        <v>2080</v>
      </c>
      <c r="J203" s="61" t="s">
        <v>114</v>
      </c>
      <c r="K203" s="64">
        <v>3064</v>
      </c>
      <c r="L203" s="61"/>
      <c r="M203" s="65" t="s">
        <v>1724</v>
      </c>
      <c r="N203" s="61"/>
      <c r="O203" s="61"/>
      <c r="P203" s="61"/>
      <c r="Q203" s="61"/>
      <c r="R203" s="61">
        <v>544339</v>
      </c>
      <c r="S203" s="66" t="s">
        <v>843</v>
      </c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 s="61" t="s">
        <v>314</v>
      </c>
      <c r="B204" s="62">
        <v>46094</v>
      </c>
      <c r="C204" s="63" t="s">
        <v>2081</v>
      </c>
      <c r="D204" s="67">
        <v>2475000</v>
      </c>
      <c r="E204" s="67"/>
      <c r="F204" s="61" t="str">
        <f t="shared" si="3"/>
        <v>借</v>
      </c>
      <c r="G204" s="64">
        <f>SUM(D$6:E204)</f>
        <v>12703852</v>
      </c>
      <c r="H204" s="61" t="s">
        <v>1132</v>
      </c>
      <c r="I204" s="61" t="s">
        <v>2082</v>
      </c>
      <c r="J204" s="61" t="s">
        <v>114</v>
      </c>
      <c r="K204" s="64">
        <v>2475000</v>
      </c>
      <c r="L204" s="61"/>
      <c r="M204" s="65" t="s">
        <v>2083</v>
      </c>
      <c r="N204" s="61"/>
      <c r="O204" s="61"/>
      <c r="P204" s="61"/>
      <c r="Q204" s="61"/>
      <c r="R204" s="61">
        <v>543336</v>
      </c>
      <c r="S204" s="66" t="s">
        <v>843</v>
      </c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 s="61" t="s">
        <v>314</v>
      </c>
      <c r="B205" s="62">
        <v>46094</v>
      </c>
      <c r="C205" s="63" t="s">
        <v>2084</v>
      </c>
      <c r="D205" s="67">
        <v>3000</v>
      </c>
      <c r="E205" s="67"/>
      <c r="F205" s="61" t="str">
        <f t="shared" si="3"/>
        <v>借</v>
      </c>
      <c r="G205" s="64">
        <f>SUM(D$6:E205)</f>
        <v>12706852</v>
      </c>
      <c r="H205" s="61"/>
      <c r="I205" s="61" t="s">
        <v>2085</v>
      </c>
      <c r="J205" s="61" t="s">
        <v>114</v>
      </c>
      <c r="K205" s="64">
        <v>3000</v>
      </c>
      <c r="L205" s="61"/>
      <c r="M205" s="65" t="s">
        <v>1086</v>
      </c>
      <c r="N205" s="61"/>
      <c r="O205" s="61"/>
      <c r="P205" s="61"/>
      <c r="Q205" s="61"/>
      <c r="R205" s="61">
        <v>544339</v>
      </c>
      <c r="S205" s="66" t="s">
        <v>843</v>
      </c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 s="61" t="s">
        <v>314</v>
      </c>
      <c r="B206" s="62">
        <v>46094</v>
      </c>
      <c r="C206" s="63" t="s">
        <v>2086</v>
      </c>
      <c r="D206" s="67">
        <v>15290</v>
      </c>
      <c r="E206" s="67"/>
      <c r="F206" s="61" t="str">
        <f t="shared" si="3"/>
        <v>借</v>
      </c>
      <c r="G206" s="64">
        <f>SUM(D$6:E206)</f>
        <v>12722142</v>
      </c>
      <c r="H206" s="61"/>
      <c r="I206" s="61" t="s">
        <v>2087</v>
      </c>
      <c r="J206" s="61" t="s">
        <v>114</v>
      </c>
      <c r="K206" s="64">
        <v>15290</v>
      </c>
      <c r="L206" s="61"/>
      <c r="M206" s="65" t="s">
        <v>1082</v>
      </c>
      <c r="N206" s="61"/>
      <c r="O206" s="61"/>
      <c r="P206" s="61"/>
      <c r="Q206" s="61"/>
      <c r="R206" s="61">
        <v>544339</v>
      </c>
      <c r="S206" s="66" t="s">
        <v>843</v>
      </c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 s="61" t="s">
        <v>314</v>
      </c>
      <c r="B207" s="62">
        <v>46094</v>
      </c>
      <c r="C207" s="63" t="s">
        <v>2088</v>
      </c>
      <c r="D207" s="67">
        <v>5000</v>
      </c>
      <c r="E207" s="67"/>
      <c r="F207" s="61" t="str">
        <f t="shared" si="3"/>
        <v>借</v>
      </c>
      <c r="G207" s="64">
        <f>SUM(D$6:E207)</f>
        <v>12727142</v>
      </c>
      <c r="H207" s="61"/>
      <c r="I207" s="61" t="s">
        <v>2089</v>
      </c>
      <c r="J207" s="61" t="s">
        <v>114</v>
      </c>
      <c r="K207" s="64">
        <v>5000</v>
      </c>
      <c r="L207" s="61"/>
      <c r="M207" s="65" t="s">
        <v>1729</v>
      </c>
      <c r="N207" s="61"/>
      <c r="O207" s="61"/>
      <c r="P207" s="61"/>
      <c r="Q207" s="61"/>
      <c r="R207" s="61">
        <v>544339</v>
      </c>
      <c r="S207" s="66" t="s">
        <v>843</v>
      </c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 s="61" t="s">
        <v>314</v>
      </c>
      <c r="B208" s="62">
        <v>46094</v>
      </c>
      <c r="C208" s="63" t="s">
        <v>2090</v>
      </c>
      <c r="D208" s="67">
        <v>33012</v>
      </c>
      <c r="E208" s="67"/>
      <c r="F208" s="61" t="str">
        <f t="shared" si="3"/>
        <v>借</v>
      </c>
      <c r="G208" s="64">
        <f>SUM(D$6:E208)</f>
        <v>12760154</v>
      </c>
      <c r="H208" s="61"/>
      <c r="I208" s="61" t="s">
        <v>2091</v>
      </c>
      <c r="J208" s="61" t="s">
        <v>114</v>
      </c>
      <c r="K208" s="64">
        <v>33012</v>
      </c>
      <c r="L208" s="61"/>
      <c r="M208" s="65" t="s">
        <v>358</v>
      </c>
      <c r="N208" s="61"/>
      <c r="O208" s="61"/>
      <c r="P208" s="61"/>
      <c r="Q208" s="61"/>
      <c r="R208" s="61">
        <v>544339</v>
      </c>
      <c r="S208" s="66" t="s">
        <v>843</v>
      </c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 s="61" t="s">
        <v>314</v>
      </c>
      <c r="B209" s="62">
        <v>46094</v>
      </c>
      <c r="C209" s="63" t="s">
        <v>2092</v>
      </c>
      <c r="D209" s="67">
        <v>9000</v>
      </c>
      <c r="E209" s="67"/>
      <c r="F209" s="61" t="str">
        <f t="shared" si="3"/>
        <v>借</v>
      </c>
      <c r="G209" s="64">
        <f>SUM(D$6:E209)</f>
        <v>12769154</v>
      </c>
      <c r="H209" s="61"/>
      <c r="I209" s="61" t="s">
        <v>2093</v>
      </c>
      <c r="J209" s="61" t="s">
        <v>114</v>
      </c>
      <c r="K209" s="64">
        <v>9000</v>
      </c>
      <c r="L209" s="61"/>
      <c r="M209" s="65" t="s">
        <v>269</v>
      </c>
      <c r="N209" s="61"/>
      <c r="O209" s="61"/>
      <c r="P209" s="61"/>
      <c r="Q209" s="61"/>
      <c r="R209" s="61">
        <v>544339</v>
      </c>
      <c r="S209" s="66" t="s">
        <v>843</v>
      </c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 s="61" t="s">
        <v>314</v>
      </c>
      <c r="B210" s="62">
        <v>46094</v>
      </c>
      <c r="C210" s="63" t="s">
        <v>2094</v>
      </c>
      <c r="D210" s="67">
        <v>38314</v>
      </c>
      <c r="E210" s="67"/>
      <c r="F210" s="61" t="str">
        <f t="shared" si="3"/>
        <v>借</v>
      </c>
      <c r="G210" s="64">
        <f>SUM(D$6:E210)</f>
        <v>12807468</v>
      </c>
      <c r="H210" s="61"/>
      <c r="I210" s="61" t="s">
        <v>2095</v>
      </c>
      <c r="J210" s="61" t="s">
        <v>114</v>
      </c>
      <c r="K210" s="64">
        <v>38314</v>
      </c>
      <c r="L210" s="61"/>
      <c r="M210" s="65" t="s">
        <v>1083</v>
      </c>
      <c r="N210" s="61"/>
      <c r="O210" s="61"/>
      <c r="P210" s="61"/>
      <c r="Q210" s="61"/>
      <c r="R210" s="61">
        <v>544339</v>
      </c>
      <c r="S210" s="66" t="s">
        <v>843</v>
      </c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 s="61" t="s">
        <v>314</v>
      </c>
      <c r="B211" s="62">
        <v>46094</v>
      </c>
      <c r="C211" s="63" t="s">
        <v>2096</v>
      </c>
      <c r="D211" s="67">
        <v>3000</v>
      </c>
      <c r="E211" s="67"/>
      <c r="F211" s="61" t="str">
        <f t="shared" si="3"/>
        <v>借</v>
      </c>
      <c r="G211" s="64">
        <f>SUM(D$6:E211)</f>
        <v>12810468</v>
      </c>
      <c r="H211" s="61"/>
      <c r="I211" s="61" t="s">
        <v>2097</v>
      </c>
      <c r="J211" s="61" t="s">
        <v>114</v>
      </c>
      <c r="K211" s="64">
        <v>3000</v>
      </c>
      <c r="L211" s="61"/>
      <c r="M211" s="65" t="s">
        <v>1148</v>
      </c>
      <c r="N211" s="61"/>
      <c r="O211" s="61"/>
      <c r="P211" s="61"/>
      <c r="Q211" s="61"/>
      <c r="R211" s="61">
        <v>544339</v>
      </c>
      <c r="S211" s="66" t="s">
        <v>843</v>
      </c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 s="61" t="s">
        <v>314</v>
      </c>
      <c r="B212" s="62">
        <v>46094</v>
      </c>
      <c r="C212" s="63" t="s">
        <v>2098</v>
      </c>
      <c r="D212" s="67">
        <v>5020</v>
      </c>
      <c r="E212" s="67"/>
      <c r="F212" s="61" t="str">
        <f t="shared" si="3"/>
        <v>借</v>
      </c>
      <c r="G212" s="64">
        <f>SUM(D$6:E212)</f>
        <v>12815488</v>
      </c>
      <c r="H212" s="61"/>
      <c r="I212" s="61" t="s">
        <v>2099</v>
      </c>
      <c r="J212" s="61" t="s">
        <v>114</v>
      </c>
      <c r="K212" s="64">
        <v>5020</v>
      </c>
      <c r="L212" s="61"/>
      <c r="M212" s="65" t="s">
        <v>1084</v>
      </c>
      <c r="N212" s="61"/>
      <c r="O212" s="61"/>
      <c r="P212" s="61"/>
      <c r="Q212" s="61"/>
      <c r="R212" s="61">
        <v>544339</v>
      </c>
      <c r="S212" s="66" t="s">
        <v>843</v>
      </c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 s="61" t="s">
        <v>314</v>
      </c>
      <c r="B213" s="62">
        <v>46094</v>
      </c>
      <c r="C213" s="63" t="s">
        <v>2100</v>
      </c>
      <c r="D213" s="67">
        <v>10000</v>
      </c>
      <c r="E213" s="67"/>
      <c r="F213" s="61" t="str">
        <f t="shared" si="3"/>
        <v>借</v>
      </c>
      <c r="G213" s="64">
        <f>SUM(D$6:E213)</f>
        <v>12825488</v>
      </c>
      <c r="H213" s="61"/>
      <c r="I213" s="61" t="s">
        <v>2101</v>
      </c>
      <c r="J213" s="61" t="s">
        <v>114</v>
      </c>
      <c r="K213" s="64">
        <v>10000</v>
      </c>
      <c r="L213" s="61"/>
      <c r="M213" s="65" t="s">
        <v>386</v>
      </c>
      <c r="N213" s="61"/>
      <c r="O213" s="61"/>
      <c r="P213" s="61"/>
      <c r="Q213" s="61"/>
      <c r="R213" s="61">
        <v>544339</v>
      </c>
      <c r="S213" s="66" t="s">
        <v>843</v>
      </c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 s="61" t="s">
        <v>314</v>
      </c>
      <c r="B214" s="62">
        <v>46094</v>
      </c>
      <c r="C214" s="63" t="s">
        <v>2102</v>
      </c>
      <c r="D214" s="67">
        <v>81069</v>
      </c>
      <c r="E214" s="67"/>
      <c r="F214" s="61" t="str">
        <f t="shared" si="3"/>
        <v>借</v>
      </c>
      <c r="G214" s="64">
        <f>SUM(D$6:E214)</f>
        <v>12906557</v>
      </c>
      <c r="H214" s="61"/>
      <c r="I214" s="61" t="s">
        <v>2103</v>
      </c>
      <c r="J214" s="61" t="s">
        <v>114</v>
      </c>
      <c r="K214" s="64">
        <v>81069</v>
      </c>
      <c r="L214" s="61"/>
      <c r="M214" s="65" t="s">
        <v>356</v>
      </c>
      <c r="N214" s="61"/>
      <c r="O214" s="61"/>
      <c r="P214" s="61"/>
      <c r="Q214" s="61"/>
      <c r="R214" s="61">
        <v>544339</v>
      </c>
      <c r="S214" s="66" t="s">
        <v>843</v>
      </c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 s="61" t="s">
        <v>314</v>
      </c>
      <c r="B215" s="62">
        <v>46094</v>
      </c>
      <c r="C215" s="63" t="s">
        <v>2104</v>
      </c>
      <c r="D215" s="67">
        <v>3000</v>
      </c>
      <c r="E215" s="67"/>
      <c r="F215" s="61" t="str">
        <f t="shared" si="3"/>
        <v>借</v>
      </c>
      <c r="G215" s="64">
        <f>SUM(D$6:E215)</f>
        <v>12909557</v>
      </c>
      <c r="H215" s="61"/>
      <c r="I215" s="61" t="s">
        <v>2105</v>
      </c>
      <c r="J215" s="61" t="s">
        <v>114</v>
      </c>
      <c r="K215" s="64">
        <v>3000</v>
      </c>
      <c r="L215" s="61"/>
      <c r="M215" s="65" t="s">
        <v>1731</v>
      </c>
      <c r="N215" s="61"/>
      <c r="O215" s="61"/>
      <c r="P215" s="61"/>
      <c r="Q215" s="61"/>
      <c r="R215" s="61">
        <v>544339</v>
      </c>
      <c r="S215" s="66" t="s">
        <v>843</v>
      </c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 s="61" t="s">
        <v>314</v>
      </c>
      <c r="B216" s="62">
        <v>46094</v>
      </c>
      <c r="C216" s="63" t="s">
        <v>2106</v>
      </c>
      <c r="D216" s="67">
        <v>3327</v>
      </c>
      <c r="E216" s="67"/>
      <c r="F216" s="61" t="str">
        <f t="shared" si="3"/>
        <v>借</v>
      </c>
      <c r="G216" s="64">
        <f>SUM(D$6:E216)</f>
        <v>12912884</v>
      </c>
      <c r="H216" s="61"/>
      <c r="I216" s="61" t="s">
        <v>2107</v>
      </c>
      <c r="J216" s="61" t="s">
        <v>114</v>
      </c>
      <c r="K216" s="64">
        <v>3327</v>
      </c>
      <c r="L216" s="61"/>
      <c r="M216" s="65" t="s">
        <v>1475</v>
      </c>
      <c r="N216" s="61"/>
      <c r="O216" s="61"/>
      <c r="P216" s="61"/>
      <c r="Q216" s="61"/>
      <c r="R216" s="61">
        <v>544339</v>
      </c>
      <c r="S216" s="66" t="s">
        <v>843</v>
      </c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 s="61" t="s">
        <v>314</v>
      </c>
      <c r="B217" s="62">
        <v>46094</v>
      </c>
      <c r="C217" s="63" t="s">
        <v>2108</v>
      </c>
      <c r="D217" s="67">
        <v>5000</v>
      </c>
      <c r="E217" s="67"/>
      <c r="F217" s="61" t="str">
        <f t="shared" si="3"/>
        <v>借</v>
      </c>
      <c r="G217" s="64">
        <f>SUM(D$6:E217)</f>
        <v>12917884</v>
      </c>
      <c r="H217" s="61"/>
      <c r="I217" s="61" t="s">
        <v>2109</v>
      </c>
      <c r="J217" s="61" t="s">
        <v>114</v>
      </c>
      <c r="K217" s="64">
        <v>5000</v>
      </c>
      <c r="L217" s="61"/>
      <c r="M217" s="65" t="s">
        <v>1734</v>
      </c>
      <c r="N217" s="61"/>
      <c r="O217" s="61"/>
      <c r="P217" s="61"/>
      <c r="Q217" s="61"/>
      <c r="R217" s="61">
        <v>544339</v>
      </c>
      <c r="S217" s="66" t="s">
        <v>843</v>
      </c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 s="61" t="s">
        <v>314</v>
      </c>
      <c r="B218" s="62">
        <v>46094</v>
      </c>
      <c r="C218" s="63" t="s">
        <v>2110</v>
      </c>
      <c r="D218" s="67">
        <v>10000</v>
      </c>
      <c r="E218" s="67"/>
      <c r="F218" s="61" t="str">
        <f t="shared" si="3"/>
        <v>借</v>
      </c>
      <c r="G218" s="64">
        <f>SUM(D$6:E218)</f>
        <v>12927884</v>
      </c>
      <c r="H218" s="61"/>
      <c r="I218" s="61" t="s">
        <v>2111</v>
      </c>
      <c r="J218" s="61" t="s">
        <v>114</v>
      </c>
      <c r="K218" s="64">
        <v>10000</v>
      </c>
      <c r="L218" s="61"/>
      <c r="M218" s="65" t="s">
        <v>357</v>
      </c>
      <c r="N218" s="61"/>
      <c r="O218" s="61"/>
      <c r="P218" s="61"/>
      <c r="Q218" s="61"/>
      <c r="R218" s="61">
        <v>544339</v>
      </c>
      <c r="S218" s="66" t="s">
        <v>843</v>
      </c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 s="61" t="s">
        <v>314</v>
      </c>
      <c r="B219" s="62">
        <v>46094</v>
      </c>
      <c r="C219" s="63" t="s">
        <v>2112</v>
      </c>
      <c r="D219" s="67">
        <v>5068</v>
      </c>
      <c r="E219" s="67"/>
      <c r="F219" s="61" t="str">
        <f t="shared" si="3"/>
        <v>借</v>
      </c>
      <c r="G219" s="64">
        <f>SUM(D$6:E219)</f>
        <v>12932952</v>
      </c>
      <c r="H219" s="61"/>
      <c r="I219" s="61" t="s">
        <v>2113</v>
      </c>
      <c r="J219" s="61" t="s">
        <v>114</v>
      </c>
      <c r="K219" s="64">
        <v>5068</v>
      </c>
      <c r="L219" s="61"/>
      <c r="M219" s="65" t="s">
        <v>1087</v>
      </c>
      <c r="N219" s="61"/>
      <c r="O219" s="61"/>
      <c r="P219" s="61"/>
      <c r="Q219" s="61"/>
      <c r="R219" s="61">
        <v>544339</v>
      </c>
      <c r="S219" s="66" t="s">
        <v>843</v>
      </c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 s="61" t="s">
        <v>314</v>
      </c>
      <c r="B220" s="62">
        <v>46094</v>
      </c>
      <c r="C220" s="63" t="s">
        <v>2114</v>
      </c>
      <c r="D220" s="67">
        <v>20954</v>
      </c>
      <c r="E220" s="67"/>
      <c r="F220" s="61" t="str">
        <f t="shared" si="3"/>
        <v>借</v>
      </c>
      <c r="G220" s="64">
        <f>SUM(D$6:E220)</f>
        <v>12953906</v>
      </c>
      <c r="H220" s="61"/>
      <c r="I220" s="61" t="s">
        <v>2115</v>
      </c>
      <c r="J220" s="61" t="s">
        <v>114</v>
      </c>
      <c r="K220" s="64">
        <v>20954</v>
      </c>
      <c r="L220" s="61"/>
      <c r="M220" s="65" t="s">
        <v>1619</v>
      </c>
      <c r="N220" s="61"/>
      <c r="O220" s="61"/>
      <c r="P220" s="61"/>
      <c r="Q220" s="61"/>
      <c r="R220" s="61">
        <v>544339</v>
      </c>
      <c r="S220" s="66" t="s">
        <v>843</v>
      </c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 s="61" t="s">
        <v>314</v>
      </c>
      <c r="B221" s="62">
        <v>46094</v>
      </c>
      <c r="C221" s="63" t="s">
        <v>2116</v>
      </c>
      <c r="D221" s="67">
        <v>3000</v>
      </c>
      <c r="E221" s="67"/>
      <c r="F221" s="61" t="str">
        <f t="shared" si="3"/>
        <v>借</v>
      </c>
      <c r="G221" s="64">
        <f>SUM(D$6:E221)</f>
        <v>12956906</v>
      </c>
      <c r="H221" s="61"/>
      <c r="I221" s="61" t="s">
        <v>2117</v>
      </c>
      <c r="J221" s="61" t="s">
        <v>114</v>
      </c>
      <c r="K221" s="64">
        <v>3000</v>
      </c>
      <c r="L221" s="61"/>
      <c r="M221" s="65" t="s">
        <v>1737</v>
      </c>
      <c r="N221" s="61"/>
      <c r="O221" s="61"/>
      <c r="P221" s="61"/>
      <c r="Q221" s="61"/>
      <c r="R221" s="61">
        <v>544339</v>
      </c>
      <c r="S221" s="66" t="s">
        <v>843</v>
      </c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 s="61" t="s">
        <v>314</v>
      </c>
      <c r="B222" s="62">
        <v>46094</v>
      </c>
      <c r="C222" s="63" t="s">
        <v>2118</v>
      </c>
      <c r="D222" s="67">
        <v>6060</v>
      </c>
      <c r="E222" s="67"/>
      <c r="F222" s="61" t="str">
        <f t="shared" si="3"/>
        <v>借</v>
      </c>
      <c r="G222" s="64">
        <f>SUM(D$6:E222)</f>
        <v>12962966</v>
      </c>
      <c r="H222" s="61"/>
      <c r="I222" s="61" t="s">
        <v>2119</v>
      </c>
      <c r="J222" s="61" t="s">
        <v>114</v>
      </c>
      <c r="K222" s="64">
        <v>6060</v>
      </c>
      <c r="L222" s="61"/>
      <c r="M222" s="65" t="s">
        <v>1085</v>
      </c>
      <c r="N222" s="61"/>
      <c r="O222" s="61"/>
      <c r="P222" s="61"/>
      <c r="Q222" s="61"/>
      <c r="R222" s="61">
        <v>544339</v>
      </c>
      <c r="S222" s="66" t="s">
        <v>843</v>
      </c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 s="61" t="s">
        <v>314</v>
      </c>
      <c r="B223" s="62">
        <v>46094</v>
      </c>
      <c r="C223" s="63" t="s">
        <v>2120</v>
      </c>
      <c r="D223" s="67">
        <v>3000</v>
      </c>
      <c r="E223" s="67"/>
      <c r="F223" s="61" t="str">
        <f t="shared" si="3"/>
        <v>借</v>
      </c>
      <c r="G223" s="64">
        <f>SUM(D$6:E223)</f>
        <v>12965966</v>
      </c>
      <c r="H223" s="61"/>
      <c r="I223" s="61" t="s">
        <v>2121</v>
      </c>
      <c r="J223" s="61" t="s">
        <v>114</v>
      </c>
      <c r="K223" s="64">
        <v>3000</v>
      </c>
      <c r="L223" s="61"/>
      <c r="M223" s="65" t="s">
        <v>1738</v>
      </c>
      <c r="N223" s="61"/>
      <c r="O223" s="61"/>
      <c r="P223" s="61"/>
      <c r="Q223" s="61"/>
      <c r="R223" s="61">
        <v>544339</v>
      </c>
      <c r="S223" s="66" t="s">
        <v>843</v>
      </c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 s="61" t="s">
        <v>314</v>
      </c>
      <c r="B224" s="62">
        <v>46094</v>
      </c>
      <c r="C224" s="63" t="s">
        <v>2122</v>
      </c>
      <c r="D224" s="67">
        <v>54508</v>
      </c>
      <c r="E224" s="67"/>
      <c r="F224" s="61" t="str">
        <f t="shared" si="3"/>
        <v>借</v>
      </c>
      <c r="G224" s="64">
        <f>SUM(D$6:E224)</f>
        <v>13020474</v>
      </c>
      <c r="H224" s="61"/>
      <c r="I224" s="61" t="s">
        <v>2123</v>
      </c>
      <c r="J224" s="61" t="s">
        <v>114</v>
      </c>
      <c r="K224" s="64">
        <v>54508</v>
      </c>
      <c r="L224" s="61"/>
      <c r="M224" s="65" t="s">
        <v>359</v>
      </c>
      <c r="N224" s="61"/>
      <c r="O224" s="61"/>
      <c r="P224" s="61"/>
      <c r="Q224" s="61"/>
      <c r="R224" s="61">
        <v>544339</v>
      </c>
      <c r="S224" s="66" t="s">
        <v>843</v>
      </c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 s="61" t="s">
        <v>314</v>
      </c>
      <c r="B225" s="62">
        <v>46094</v>
      </c>
      <c r="C225" s="63" t="s">
        <v>2124</v>
      </c>
      <c r="D225" s="67">
        <v>3500</v>
      </c>
      <c r="E225" s="67"/>
      <c r="F225" s="61" t="str">
        <f t="shared" si="3"/>
        <v>借</v>
      </c>
      <c r="G225" s="64">
        <f>SUM(D$6:E225)</f>
        <v>13023974</v>
      </c>
      <c r="H225" s="61"/>
      <c r="I225" s="61" t="s">
        <v>2125</v>
      </c>
      <c r="J225" s="61" t="s">
        <v>114</v>
      </c>
      <c r="K225" s="64">
        <v>3500</v>
      </c>
      <c r="L225" s="61"/>
      <c r="M225" s="65" t="s">
        <v>387</v>
      </c>
      <c r="N225" s="61"/>
      <c r="O225" s="61"/>
      <c r="P225" s="61"/>
      <c r="Q225" s="61"/>
      <c r="R225" s="61">
        <v>544339</v>
      </c>
      <c r="S225" s="66" t="s">
        <v>843</v>
      </c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 s="61" t="s">
        <v>314</v>
      </c>
      <c r="B226" s="62">
        <v>46094</v>
      </c>
      <c r="C226" s="63" t="s">
        <v>2126</v>
      </c>
      <c r="D226" s="67">
        <v>84478</v>
      </c>
      <c r="E226" s="67"/>
      <c r="F226" s="61" t="str">
        <f t="shared" si="3"/>
        <v>借</v>
      </c>
      <c r="G226" s="64">
        <f>SUM(D$6:E226)</f>
        <v>13108452</v>
      </c>
      <c r="H226" s="61"/>
      <c r="I226" s="61" t="s">
        <v>2127</v>
      </c>
      <c r="J226" s="61" t="s">
        <v>114</v>
      </c>
      <c r="K226" s="64">
        <v>84478</v>
      </c>
      <c r="L226" s="61"/>
      <c r="M226" s="65" t="s">
        <v>303</v>
      </c>
      <c r="N226" s="61"/>
      <c r="O226" s="61"/>
      <c r="P226" s="61"/>
      <c r="Q226" s="61"/>
      <c r="R226" s="61">
        <v>544339</v>
      </c>
      <c r="S226" s="66" t="s">
        <v>843</v>
      </c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 s="61" t="s">
        <v>314</v>
      </c>
      <c r="B227" s="62">
        <v>46094</v>
      </c>
      <c r="C227" s="63" t="s">
        <v>2128</v>
      </c>
      <c r="D227" s="67">
        <v>2500</v>
      </c>
      <c r="E227" s="67"/>
      <c r="F227" s="61" t="str">
        <f t="shared" si="3"/>
        <v>借</v>
      </c>
      <c r="G227" s="64">
        <f>SUM(D$6:E227)</f>
        <v>13110952</v>
      </c>
      <c r="H227" s="61"/>
      <c r="I227" s="61" t="s">
        <v>2129</v>
      </c>
      <c r="J227" s="61" t="s">
        <v>114</v>
      </c>
      <c r="K227" s="64">
        <v>2500</v>
      </c>
      <c r="L227" s="61"/>
      <c r="M227" s="65" t="s">
        <v>1247</v>
      </c>
      <c r="N227" s="61"/>
      <c r="O227" s="61"/>
      <c r="P227" s="61"/>
      <c r="Q227" s="61"/>
      <c r="R227" s="61">
        <v>544339</v>
      </c>
      <c r="S227" s="66" t="s">
        <v>843</v>
      </c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 s="61" t="s">
        <v>314</v>
      </c>
      <c r="B228" s="62">
        <v>46094</v>
      </c>
      <c r="C228" s="63" t="s">
        <v>2130</v>
      </c>
      <c r="D228" s="67">
        <v>24224</v>
      </c>
      <c r="E228" s="67"/>
      <c r="F228" s="61" t="str">
        <f t="shared" si="3"/>
        <v>借</v>
      </c>
      <c r="G228" s="64">
        <f>SUM(D$6:E228)</f>
        <v>13135176</v>
      </c>
      <c r="H228" s="61"/>
      <c r="I228" s="61" t="s">
        <v>2131</v>
      </c>
      <c r="J228" s="61" t="s">
        <v>114</v>
      </c>
      <c r="K228" s="64">
        <v>24224</v>
      </c>
      <c r="L228" s="61"/>
      <c r="M228" s="65" t="s">
        <v>286</v>
      </c>
      <c r="N228" s="61"/>
      <c r="O228" s="61"/>
      <c r="P228" s="61"/>
      <c r="Q228" s="61"/>
      <c r="R228" s="61">
        <v>544339</v>
      </c>
      <c r="S228" s="66" t="s">
        <v>843</v>
      </c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 s="61" t="s">
        <v>314</v>
      </c>
      <c r="B229" s="62">
        <v>46094</v>
      </c>
      <c r="C229" s="63" t="s">
        <v>2132</v>
      </c>
      <c r="D229" s="67">
        <v>5000</v>
      </c>
      <c r="E229" s="67"/>
      <c r="F229" s="61" t="str">
        <f t="shared" si="3"/>
        <v>借</v>
      </c>
      <c r="G229" s="64">
        <f>SUM(D$6:E229)</f>
        <v>13140176</v>
      </c>
      <c r="H229" s="61"/>
      <c r="I229" s="61" t="s">
        <v>2133</v>
      </c>
      <c r="J229" s="61" t="s">
        <v>114</v>
      </c>
      <c r="K229" s="64">
        <v>5000</v>
      </c>
      <c r="L229" s="61"/>
      <c r="M229" s="65" t="s">
        <v>294</v>
      </c>
      <c r="N229" s="61"/>
      <c r="O229" s="61"/>
      <c r="P229" s="61"/>
      <c r="Q229" s="61"/>
      <c r="R229" s="61">
        <v>544339</v>
      </c>
      <c r="S229" s="66" t="s">
        <v>843</v>
      </c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 s="61" t="s">
        <v>314</v>
      </c>
      <c r="B230" s="62">
        <v>46094</v>
      </c>
      <c r="C230" s="63" t="s">
        <v>2134</v>
      </c>
      <c r="D230" s="67">
        <v>19566</v>
      </c>
      <c r="E230" s="67"/>
      <c r="F230" s="61" t="str">
        <f t="shared" si="3"/>
        <v>借</v>
      </c>
      <c r="G230" s="64">
        <f>SUM(D$6:E230)</f>
        <v>13159742</v>
      </c>
      <c r="H230" s="61"/>
      <c r="I230" s="61" t="s">
        <v>2135</v>
      </c>
      <c r="J230" s="61" t="s">
        <v>114</v>
      </c>
      <c r="K230" s="64">
        <v>19566</v>
      </c>
      <c r="L230" s="61"/>
      <c r="M230" s="65" t="s">
        <v>360</v>
      </c>
      <c r="N230" s="61"/>
      <c r="O230" s="61"/>
      <c r="P230" s="61"/>
      <c r="Q230" s="61"/>
      <c r="R230" s="61">
        <v>544339</v>
      </c>
      <c r="S230" s="66" t="s">
        <v>843</v>
      </c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 s="61" t="s">
        <v>314</v>
      </c>
      <c r="B231" s="62">
        <v>46094</v>
      </c>
      <c r="C231" s="63" t="s">
        <v>2136</v>
      </c>
      <c r="D231" s="67">
        <v>10000</v>
      </c>
      <c r="E231" s="67"/>
      <c r="F231" s="61" t="str">
        <f t="shared" si="3"/>
        <v>借</v>
      </c>
      <c r="G231" s="64">
        <f>SUM(D$6:E231)</f>
        <v>13169742</v>
      </c>
      <c r="H231" s="61"/>
      <c r="I231" s="61" t="s">
        <v>2137</v>
      </c>
      <c r="J231" s="61" t="s">
        <v>114</v>
      </c>
      <c r="K231" s="64">
        <v>10000</v>
      </c>
      <c r="L231" s="61"/>
      <c r="M231" s="65" t="s">
        <v>388</v>
      </c>
      <c r="N231" s="61"/>
      <c r="O231" s="61"/>
      <c r="P231" s="61"/>
      <c r="Q231" s="61"/>
      <c r="R231" s="61">
        <v>544339</v>
      </c>
      <c r="S231" s="66" t="s">
        <v>843</v>
      </c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 s="61" t="s">
        <v>314</v>
      </c>
      <c r="B232" s="62">
        <v>46094</v>
      </c>
      <c r="C232" s="63" t="s">
        <v>2138</v>
      </c>
      <c r="D232" s="67">
        <v>30003</v>
      </c>
      <c r="E232" s="67"/>
      <c r="F232" s="61" t="str">
        <f t="shared" si="3"/>
        <v>借</v>
      </c>
      <c r="G232" s="64">
        <f>SUM(D$6:E232)</f>
        <v>13199745</v>
      </c>
      <c r="H232" s="61"/>
      <c r="I232" s="61" t="s">
        <v>2139</v>
      </c>
      <c r="J232" s="61" t="s">
        <v>114</v>
      </c>
      <c r="K232" s="64">
        <v>30003</v>
      </c>
      <c r="L232" s="61"/>
      <c r="M232" s="65" t="s">
        <v>291</v>
      </c>
      <c r="N232" s="61"/>
      <c r="O232" s="61"/>
      <c r="P232" s="61"/>
      <c r="Q232" s="61"/>
      <c r="R232" s="61">
        <v>544339</v>
      </c>
      <c r="S232" s="66" t="s">
        <v>843</v>
      </c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 s="61" t="s">
        <v>314</v>
      </c>
      <c r="B233" s="62">
        <v>46094</v>
      </c>
      <c r="C233" s="63" t="s">
        <v>2140</v>
      </c>
      <c r="D233" s="67">
        <v>51000</v>
      </c>
      <c r="E233" s="67"/>
      <c r="F233" s="61" t="str">
        <f t="shared" si="3"/>
        <v>借</v>
      </c>
      <c r="G233" s="64">
        <f>SUM(D$6:E233)</f>
        <v>13250745</v>
      </c>
      <c r="H233" s="61"/>
      <c r="I233" s="61" t="s">
        <v>2141</v>
      </c>
      <c r="J233" s="61" t="s">
        <v>114</v>
      </c>
      <c r="K233" s="64">
        <v>51000</v>
      </c>
      <c r="L233" s="61"/>
      <c r="M233" s="65" t="s">
        <v>331</v>
      </c>
      <c r="N233" s="61"/>
      <c r="O233" s="61"/>
      <c r="P233" s="61"/>
      <c r="Q233" s="61"/>
      <c r="R233" s="61">
        <v>544339</v>
      </c>
      <c r="S233" s="66" t="s">
        <v>843</v>
      </c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 s="61" t="s">
        <v>314</v>
      </c>
      <c r="B234" s="62">
        <v>46094</v>
      </c>
      <c r="C234" s="63" t="s">
        <v>2142</v>
      </c>
      <c r="D234" s="67">
        <v>50205</v>
      </c>
      <c r="E234" s="67"/>
      <c r="F234" s="61" t="str">
        <f t="shared" si="3"/>
        <v>借</v>
      </c>
      <c r="G234" s="64">
        <f>SUM(D$6:E234)</f>
        <v>13300950</v>
      </c>
      <c r="H234" s="61"/>
      <c r="I234" s="61" t="s">
        <v>2143</v>
      </c>
      <c r="J234" s="61" t="s">
        <v>114</v>
      </c>
      <c r="K234" s="64">
        <v>50205</v>
      </c>
      <c r="L234" s="61"/>
      <c r="M234" s="65" t="s">
        <v>361</v>
      </c>
      <c r="N234" s="61"/>
      <c r="O234" s="61"/>
      <c r="P234" s="61"/>
      <c r="Q234" s="61"/>
      <c r="R234" s="61">
        <v>544339</v>
      </c>
      <c r="S234" s="66" t="s">
        <v>843</v>
      </c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 s="61" t="s">
        <v>314</v>
      </c>
      <c r="B235" s="62">
        <v>46094</v>
      </c>
      <c r="C235" s="63" t="s">
        <v>2144</v>
      </c>
      <c r="D235" s="67">
        <v>19500</v>
      </c>
      <c r="E235" s="67"/>
      <c r="F235" s="61" t="str">
        <f t="shared" si="3"/>
        <v>借</v>
      </c>
      <c r="G235" s="64">
        <f>SUM(D$6:E235)</f>
        <v>13320450</v>
      </c>
      <c r="H235" s="61"/>
      <c r="I235" s="61" t="s">
        <v>2145</v>
      </c>
      <c r="J235" s="61" t="s">
        <v>114</v>
      </c>
      <c r="K235" s="64">
        <v>19500</v>
      </c>
      <c r="L235" s="61"/>
      <c r="M235" s="65" t="s">
        <v>389</v>
      </c>
      <c r="N235" s="61"/>
      <c r="O235" s="61"/>
      <c r="P235" s="61"/>
      <c r="Q235" s="61"/>
      <c r="R235" s="61">
        <v>544339</v>
      </c>
      <c r="S235" s="66" t="s">
        <v>843</v>
      </c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 s="61" t="s">
        <v>314</v>
      </c>
      <c r="B236" s="62">
        <v>46094</v>
      </c>
      <c r="C236" s="63" t="s">
        <v>2146</v>
      </c>
      <c r="D236" s="67">
        <v>39003</v>
      </c>
      <c r="E236" s="67"/>
      <c r="F236" s="61" t="str">
        <f t="shared" si="3"/>
        <v>借</v>
      </c>
      <c r="G236" s="64">
        <f>SUM(D$6:E236)</f>
        <v>13359453</v>
      </c>
      <c r="H236" s="61"/>
      <c r="I236" s="61" t="s">
        <v>2147</v>
      </c>
      <c r="J236" s="61" t="s">
        <v>114</v>
      </c>
      <c r="K236" s="64">
        <v>39003</v>
      </c>
      <c r="L236" s="61"/>
      <c r="M236" s="65" t="s">
        <v>362</v>
      </c>
      <c r="N236" s="61"/>
      <c r="O236" s="61"/>
      <c r="P236" s="61"/>
      <c r="Q236" s="61"/>
      <c r="R236" s="61">
        <v>544339</v>
      </c>
      <c r="S236" s="66" t="s">
        <v>843</v>
      </c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 s="61" t="s">
        <v>314</v>
      </c>
      <c r="B237" s="62">
        <v>46094</v>
      </c>
      <c r="C237" s="63" t="s">
        <v>2148</v>
      </c>
      <c r="D237" s="67">
        <v>2045</v>
      </c>
      <c r="E237" s="67"/>
      <c r="F237" s="61" t="str">
        <f t="shared" si="3"/>
        <v>借</v>
      </c>
      <c r="G237" s="64">
        <f>SUM(D$6:E237)</f>
        <v>13361498</v>
      </c>
      <c r="H237" s="61"/>
      <c r="I237" s="61" t="s">
        <v>2149</v>
      </c>
      <c r="J237" s="61" t="s">
        <v>114</v>
      </c>
      <c r="K237" s="64">
        <v>2045</v>
      </c>
      <c r="L237" s="61"/>
      <c r="M237" s="65" t="s">
        <v>1447</v>
      </c>
      <c r="N237" s="61"/>
      <c r="O237" s="61"/>
      <c r="P237" s="61"/>
      <c r="Q237" s="61"/>
      <c r="R237" s="61">
        <v>544339</v>
      </c>
      <c r="S237" s="66" t="s">
        <v>843</v>
      </c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 s="61" t="s">
        <v>314</v>
      </c>
      <c r="B238" s="62">
        <v>46094</v>
      </c>
      <c r="C238" s="63" t="s">
        <v>2150</v>
      </c>
      <c r="D238" s="67">
        <v>46000</v>
      </c>
      <c r="E238" s="67"/>
      <c r="F238" s="61" t="str">
        <f t="shared" si="3"/>
        <v>借</v>
      </c>
      <c r="G238" s="64">
        <f>SUM(D$6:E238)</f>
        <v>13407498</v>
      </c>
      <c r="H238" s="61"/>
      <c r="I238" s="61" t="s">
        <v>2151</v>
      </c>
      <c r="J238" s="61" t="s">
        <v>114</v>
      </c>
      <c r="K238" s="64">
        <v>46000</v>
      </c>
      <c r="L238" s="61"/>
      <c r="M238" s="65" t="s">
        <v>1633</v>
      </c>
      <c r="N238" s="61"/>
      <c r="O238" s="61"/>
      <c r="P238" s="61"/>
      <c r="Q238" s="61"/>
      <c r="R238" s="61">
        <v>544339</v>
      </c>
      <c r="S238" s="66" t="s">
        <v>843</v>
      </c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 s="61" t="s">
        <v>314</v>
      </c>
      <c r="B239" s="62">
        <v>46094</v>
      </c>
      <c r="C239" s="63" t="s">
        <v>2152</v>
      </c>
      <c r="D239" s="67">
        <v>3000</v>
      </c>
      <c r="E239" s="67"/>
      <c r="F239" s="61" t="str">
        <f t="shared" si="3"/>
        <v>借</v>
      </c>
      <c r="G239" s="64">
        <f>SUM(D$6:E239)</f>
        <v>13410498</v>
      </c>
      <c r="H239" s="61"/>
      <c r="I239" s="61" t="s">
        <v>2153</v>
      </c>
      <c r="J239" s="61" t="s">
        <v>114</v>
      </c>
      <c r="K239" s="64">
        <v>3000</v>
      </c>
      <c r="L239" s="61"/>
      <c r="M239" s="65" t="s">
        <v>1191</v>
      </c>
      <c r="N239" s="61"/>
      <c r="O239" s="61"/>
      <c r="P239" s="61"/>
      <c r="Q239" s="61"/>
      <c r="R239" s="61">
        <v>544339</v>
      </c>
      <c r="S239" s="66" t="s">
        <v>843</v>
      </c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 s="61" t="s">
        <v>314</v>
      </c>
      <c r="B240" s="62">
        <v>46094</v>
      </c>
      <c r="C240" s="63" t="s">
        <v>2154</v>
      </c>
      <c r="D240" s="67">
        <v>4035</v>
      </c>
      <c r="E240" s="67"/>
      <c r="F240" s="61" t="str">
        <f t="shared" si="3"/>
        <v>借</v>
      </c>
      <c r="G240" s="64">
        <f>SUM(D$6:E240)</f>
        <v>13414533</v>
      </c>
      <c r="H240" s="61"/>
      <c r="I240" s="61" t="s">
        <v>2155</v>
      </c>
      <c r="J240" s="61" t="s">
        <v>114</v>
      </c>
      <c r="K240" s="64">
        <v>4035</v>
      </c>
      <c r="L240" s="61"/>
      <c r="M240" s="65" t="s">
        <v>363</v>
      </c>
      <c r="N240" s="61"/>
      <c r="O240" s="61"/>
      <c r="P240" s="61"/>
      <c r="Q240" s="61"/>
      <c r="R240" s="61">
        <v>544339</v>
      </c>
      <c r="S240" s="66" t="s">
        <v>843</v>
      </c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 s="61" t="s">
        <v>314</v>
      </c>
      <c r="B241" s="62">
        <v>46094</v>
      </c>
      <c r="C241" s="63" t="s">
        <v>2156</v>
      </c>
      <c r="D241" s="67">
        <v>57708</v>
      </c>
      <c r="E241" s="67"/>
      <c r="F241" s="61" t="str">
        <f t="shared" si="3"/>
        <v>借</v>
      </c>
      <c r="G241" s="64">
        <f>SUM(D$6:E241)</f>
        <v>13472241</v>
      </c>
      <c r="H241" s="61"/>
      <c r="I241" s="61" t="s">
        <v>2157</v>
      </c>
      <c r="J241" s="61" t="s">
        <v>114</v>
      </c>
      <c r="K241" s="64">
        <v>57708</v>
      </c>
      <c r="L241" s="61"/>
      <c r="M241" s="65" t="s">
        <v>1745</v>
      </c>
      <c r="N241" s="61"/>
      <c r="O241" s="61"/>
      <c r="P241" s="61"/>
      <c r="Q241" s="61"/>
      <c r="R241" s="61">
        <v>544339</v>
      </c>
      <c r="S241" s="66" t="s">
        <v>843</v>
      </c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 s="61" t="s">
        <v>314</v>
      </c>
      <c r="B242" s="62">
        <v>46094</v>
      </c>
      <c r="C242" s="63" t="s">
        <v>2158</v>
      </c>
      <c r="D242" s="67">
        <v>38135</v>
      </c>
      <c r="E242" s="67"/>
      <c r="F242" s="61" t="str">
        <f t="shared" si="3"/>
        <v>借</v>
      </c>
      <c r="G242" s="64">
        <f>SUM(D$6:E242)</f>
        <v>13510376</v>
      </c>
      <c r="H242" s="61"/>
      <c r="I242" s="61" t="s">
        <v>2159</v>
      </c>
      <c r="J242" s="61" t="s">
        <v>114</v>
      </c>
      <c r="K242" s="64">
        <v>38135</v>
      </c>
      <c r="L242" s="61"/>
      <c r="M242" s="65" t="s">
        <v>1636</v>
      </c>
      <c r="N242" s="61"/>
      <c r="O242" s="61"/>
      <c r="P242" s="61"/>
      <c r="Q242" s="61"/>
      <c r="R242" s="61">
        <v>544339</v>
      </c>
      <c r="S242" s="66" t="s">
        <v>843</v>
      </c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 s="61" t="s">
        <v>314</v>
      </c>
      <c r="B243" s="62">
        <v>46094</v>
      </c>
      <c r="C243" s="63" t="s">
        <v>2160</v>
      </c>
      <c r="D243" s="67">
        <v>3920</v>
      </c>
      <c r="E243" s="67"/>
      <c r="F243" s="61" t="str">
        <f t="shared" si="3"/>
        <v>借</v>
      </c>
      <c r="G243" s="64">
        <f>SUM(D$6:E243)</f>
        <v>13514296</v>
      </c>
      <c r="H243" s="61"/>
      <c r="I243" s="61" t="s">
        <v>2161</v>
      </c>
      <c r="J243" s="61" t="s">
        <v>114</v>
      </c>
      <c r="K243" s="64">
        <v>3920</v>
      </c>
      <c r="L243" s="61"/>
      <c r="M243" s="65" t="s">
        <v>2162</v>
      </c>
      <c r="N243" s="61"/>
      <c r="O243" s="61"/>
      <c r="P243" s="61"/>
      <c r="Q243" s="61"/>
      <c r="R243" s="61">
        <v>544339</v>
      </c>
      <c r="S243" s="66" t="s">
        <v>843</v>
      </c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 s="61" t="s">
        <v>314</v>
      </c>
      <c r="B244" s="62">
        <v>46094</v>
      </c>
      <c r="C244" s="63" t="s">
        <v>2163</v>
      </c>
      <c r="D244" s="67">
        <v>20085</v>
      </c>
      <c r="E244" s="67"/>
      <c r="F244" s="61" t="str">
        <f t="shared" si="3"/>
        <v>借</v>
      </c>
      <c r="G244" s="64">
        <f>SUM(D$6:E244)</f>
        <v>13534381</v>
      </c>
      <c r="H244" s="61"/>
      <c r="I244" s="61" t="s">
        <v>2164</v>
      </c>
      <c r="J244" s="61" t="s">
        <v>114</v>
      </c>
      <c r="K244" s="64">
        <v>20085</v>
      </c>
      <c r="L244" s="61"/>
      <c r="M244" s="65" t="s">
        <v>1088</v>
      </c>
      <c r="N244" s="61"/>
      <c r="O244" s="61"/>
      <c r="P244" s="61"/>
      <c r="Q244" s="61"/>
      <c r="R244" s="61">
        <v>544339</v>
      </c>
      <c r="S244" s="66" t="s">
        <v>843</v>
      </c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 s="61" t="s">
        <v>314</v>
      </c>
      <c r="B245" s="62">
        <v>46094</v>
      </c>
      <c r="C245" s="63" t="s">
        <v>2165</v>
      </c>
      <c r="D245" s="67">
        <v>12000</v>
      </c>
      <c r="E245" s="67"/>
      <c r="F245" s="61" t="str">
        <f t="shared" si="3"/>
        <v>借</v>
      </c>
      <c r="G245" s="64">
        <f>SUM(D$6:E245)</f>
        <v>13546381</v>
      </c>
      <c r="H245" s="61"/>
      <c r="I245" s="61" t="s">
        <v>2166</v>
      </c>
      <c r="J245" s="61" t="s">
        <v>114</v>
      </c>
      <c r="K245" s="64">
        <v>12000</v>
      </c>
      <c r="L245" s="61"/>
      <c r="M245" s="65" t="s">
        <v>289</v>
      </c>
      <c r="N245" s="61"/>
      <c r="O245" s="61"/>
      <c r="P245" s="61"/>
      <c r="Q245" s="61"/>
      <c r="R245" s="61">
        <v>544339</v>
      </c>
      <c r="S245" s="66" t="s">
        <v>843</v>
      </c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 s="61" t="s">
        <v>314</v>
      </c>
      <c r="B246" s="62">
        <v>46094</v>
      </c>
      <c r="C246" s="63" t="s">
        <v>2167</v>
      </c>
      <c r="D246" s="67">
        <v>20069</v>
      </c>
      <c r="E246" s="67"/>
      <c r="F246" s="61" t="str">
        <f t="shared" si="3"/>
        <v>借</v>
      </c>
      <c r="G246" s="64">
        <f>SUM(D$6:E246)</f>
        <v>13566450</v>
      </c>
      <c r="H246" s="61"/>
      <c r="I246" s="61" t="s">
        <v>2168</v>
      </c>
      <c r="J246" s="61" t="s">
        <v>114</v>
      </c>
      <c r="K246" s="64">
        <v>20069</v>
      </c>
      <c r="L246" s="61"/>
      <c r="M246" s="65" t="s">
        <v>1089</v>
      </c>
      <c r="N246" s="61"/>
      <c r="O246" s="61"/>
      <c r="P246" s="61"/>
      <c r="Q246" s="61"/>
      <c r="R246" s="61">
        <v>544339</v>
      </c>
      <c r="S246" s="66" t="s">
        <v>843</v>
      </c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 s="61" t="s">
        <v>314</v>
      </c>
      <c r="B247" s="62">
        <v>46094</v>
      </c>
      <c r="C247" s="63" t="s">
        <v>2169</v>
      </c>
      <c r="D247" s="67">
        <v>20096</v>
      </c>
      <c r="E247" s="67"/>
      <c r="F247" s="61" t="str">
        <f t="shared" si="3"/>
        <v>借</v>
      </c>
      <c r="G247" s="64">
        <f>SUM(D$6:E247)</f>
        <v>13586546</v>
      </c>
      <c r="H247" s="61"/>
      <c r="I247" s="61" t="s">
        <v>2170</v>
      </c>
      <c r="J247" s="61" t="s">
        <v>114</v>
      </c>
      <c r="K247" s="64">
        <v>20096</v>
      </c>
      <c r="L247" s="61"/>
      <c r="M247" s="65" t="s">
        <v>1448</v>
      </c>
      <c r="N247" s="61"/>
      <c r="O247" s="61"/>
      <c r="P247" s="61"/>
      <c r="Q247" s="61"/>
      <c r="R247" s="61">
        <v>544339</v>
      </c>
      <c r="S247" s="66" t="s">
        <v>843</v>
      </c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 s="61" t="s">
        <v>314</v>
      </c>
      <c r="B248" s="62">
        <v>46094</v>
      </c>
      <c r="C248" s="63" t="s">
        <v>2171</v>
      </c>
      <c r="D248" s="67">
        <v>46593</v>
      </c>
      <c r="E248" s="67"/>
      <c r="F248" s="61" t="str">
        <f t="shared" si="3"/>
        <v>借</v>
      </c>
      <c r="G248" s="64">
        <f>SUM(D$6:E248)</f>
        <v>13633139</v>
      </c>
      <c r="H248" s="61"/>
      <c r="I248" s="61" t="s">
        <v>2172</v>
      </c>
      <c r="J248" s="61" t="s">
        <v>114</v>
      </c>
      <c r="K248" s="64">
        <v>46593</v>
      </c>
      <c r="L248" s="61"/>
      <c r="M248" s="65" t="s">
        <v>364</v>
      </c>
      <c r="N248" s="61"/>
      <c r="O248" s="61"/>
      <c r="P248" s="61"/>
      <c r="Q248" s="61"/>
      <c r="R248" s="61">
        <v>544339</v>
      </c>
      <c r="S248" s="66" t="s">
        <v>843</v>
      </c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 s="61" t="s">
        <v>314</v>
      </c>
      <c r="B249" s="62">
        <v>46094</v>
      </c>
      <c r="C249" s="63" t="s">
        <v>2173</v>
      </c>
      <c r="D249" s="67">
        <v>94062</v>
      </c>
      <c r="E249" s="67"/>
      <c r="F249" s="61" t="str">
        <f t="shared" si="3"/>
        <v>借</v>
      </c>
      <c r="G249" s="64">
        <f>SUM(D$6:E249)</f>
        <v>13727201</v>
      </c>
      <c r="H249" s="61"/>
      <c r="I249" s="61" t="s">
        <v>2174</v>
      </c>
      <c r="J249" s="61" t="s">
        <v>114</v>
      </c>
      <c r="K249" s="64">
        <v>94062</v>
      </c>
      <c r="L249" s="61"/>
      <c r="M249" s="65" t="s">
        <v>271</v>
      </c>
      <c r="N249" s="61"/>
      <c r="O249" s="61"/>
      <c r="P249" s="61"/>
      <c r="Q249" s="61"/>
      <c r="R249" s="61">
        <v>544339</v>
      </c>
      <c r="S249" s="66" t="s">
        <v>843</v>
      </c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 s="61" t="s">
        <v>314</v>
      </c>
      <c r="B250" s="62">
        <v>46094</v>
      </c>
      <c r="C250" s="63" t="s">
        <v>2175</v>
      </c>
      <c r="D250" s="67">
        <v>84126</v>
      </c>
      <c r="E250" s="67"/>
      <c r="F250" s="61" t="str">
        <f t="shared" si="3"/>
        <v>借</v>
      </c>
      <c r="G250" s="64">
        <f>SUM(D$6:E250)</f>
        <v>13811327</v>
      </c>
      <c r="H250" s="61"/>
      <c r="I250" s="61" t="s">
        <v>2176</v>
      </c>
      <c r="J250" s="61" t="s">
        <v>114</v>
      </c>
      <c r="K250" s="64">
        <v>84126</v>
      </c>
      <c r="L250" s="61"/>
      <c r="M250" s="65" t="s">
        <v>1640</v>
      </c>
      <c r="N250" s="61"/>
      <c r="O250" s="61"/>
      <c r="P250" s="61"/>
      <c r="Q250" s="61"/>
      <c r="R250" s="61">
        <v>544339</v>
      </c>
      <c r="S250" s="66" t="s">
        <v>843</v>
      </c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 s="61" t="s">
        <v>314</v>
      </c>
      <c r="B251" s="62">
        <v>46094</v>
      </c>
      <c r="C251" s="63" t="s">
        <v>2177</v>
      </c>
      <c r="D251" s="67">
        <v>5000</v>
      </c>
      <c r="E251" s="67"/>
      <c r="F251" s="61" t="str">
        <f t="shared" si="3"/>
        <v>借</v>
      </c>
      <c r="G251" s="64">
        <f>SUM(D$6:E251)</f>
        <v>13816327</v>
      </c>
      <c r="H251" s="61"/>
      <c r="I251" s="61" t="s">
        <v>2178</v>
      </c>
      <c r="J251" s="61" t="s">
        <v>114</v>
      </c>
      <c r="K251" s="64">
        <v>5000</v>
      </c>
      <c r="L251" s="61"/>
      <c r="M251" s="65" t="s">
        <v>321</v>
      </c>
      <c r="N251" s="61"/>
      <c r="O251" s="61"/>
      <c r="P251" s="61"/>
      <c r="Q251" s="61"/>
      <c r="R251" s="61">
        <v>544339</v>
      </c>
      <c r="S251" s="66" t="s">
        <v>843</v>
      </c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 s="61" t="s">
        <v>314</v>
      </c>
      <c r="B252" s="62">
        <v>46094</v>
      </c>
      <c r="C252" s="63" t="s">
        <v>2179</v>
      </c>
      <c r="D252" s="67">
        <v>45737</v>
      </c>
      <c r="E252" s="67"/>
      <c r="F252" s="61" t="str">
        <f t="shared" si="3"/>
        <v>借</v>
      </c>
      <c r="G252" s="64">
        <f>SUM(D$6:E252)</f>
        <v>13862064</v>
      </c>
      <c r="H252" s="61"/>
      <c r="I252" s="61" t="s">
        <v>2180</v>
      </c>
      <c r="J252" s="61" t="s">
        <v>114</v>
      </c>
      <c r="K252" s="64">
        <v>45737</v>
      </c>
      <c r="L252" s="61"/>
      <c r="M252" s="65" t="s">
        <v>300</v>
      </c>
      <c r="N252" s="61"/>
      <c r="O252" s="61"/>
      <c r="P252" s="61"/>
      <c r="Q252" s="61"/>
      <c r="R252" s="61">
        <v>544339</v>
      </c>
      <c r="S252" s="66" t="s">
        <v>843</v>
      </c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 s="61" t="s">
        <v>314</v>
      </c>
      <c r="B253" s="62">
        <v>46094</v>
      </c>
      <c r="C253" s="63" t="s">
        <v>2181</v>
      </c>
      <c r="D253" s="67">
        <v>77611</v>
      </c>
      <c r="E253" s="67"/>
      <c r="F253" s="61" t="str">
        <f t="shared" si="3"/>
        <v>借</v>
      </c>
      <c r="G253" s="64">
        <f>SUM(D$6:E253)</f>
        <v>13939675</v>
      </c>
      <c r="H253" s="61"/>
      <c r="I253" s="61" t="s">
        <v>2182</v>
      </c>
      <c r="J253" s="61" t="s">
        <v>114</v>
      </c>
      <c r="K253" s="64">
        <v>77611</v>
      </c>
      <c r="L253" s="61"/>
      <c r="M253" s="65" t="s">
        <v>1645</v>
      </c>
      <c r="N253" s="61"/>
      <c r="O253" s="61"/>
      <c r="P253" s="61"/>
      <c r="Q253" s="61"/>
      <c r="R253" s="61">
        <v>544339</v>
      </c>
      <c r="S253" s="66" t="s">
        <v>843</v>
      </c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 s="61" t="s">
        <v>314</v>
      </c>
      <c r="B254" s="62">
        <v>46094</v>
      </c>
      <c r="C254" s="63" t="s">
        <v>2183</v>
      </c>
      <c r="D254" s="67">
        <v>81662</v>
      </c>
      <c r="E254" s="67"/>
      <c r="F254" s="61" t="str">
        <f t="shared" si="3"/>
        <v>借</v>
      </c>
      <c r="G254" s="64">
        <f>SUM(D$6:E254)</f>
        <v>14021337</v>
      </c>
      <c r="H254" s="61"/>
      <c r="I254" s="61" t="s">
        <v>2184</v>
      </c>
      <c r="J254" s="61" t="s">
        <v>114</v>
      </c>
      <c r="K254" s="64">
        <v>81662</v>
      </c>
      <c r="L254" s="61"/>
      <c r="M254" s="65" t="s">
        <v>1090</v>
      </c>
      <c r="N254" s="61"/>
      <c r="O254" s="61"/>
      <c r="P254" s="61"/>
      <c r="Q254" s="61"/>
      <c r="R254" s="61">
        <v>544339</v>
      </c>
      <c r="S254" s="66" t="s">
        <v>843</v>
      </c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 s="61" t="s">
        <v>314</v>
      </c>
      <c r="B255" s="62">
        <v>46094</v>
      </c>
      <c r="C255" s="63" t="s">
        <v>2185</v>
      </c>
      <c r="D255" s="67">
        <v>38015</v>
      </c>
      <c r="E255" s="67"/>
      <c r="F255" s="61" t="str">
        <f t="shared" si="3"/>
        <v>借</v>
      </c>
      <c r="G255" s="64">
        <f>SUM(D$6:E255)</f>
        <v>14059352</v>
      </c>
      <c r="H255" s="61"/>
      <c r="I255" s="61" t="s">
        <v>2186</v>
      </c>
      <c r="J255" s="61" t="s">
        <v>114</v>
      </c>
      <c r="K255" s="64">
        <v>38015</v>
      </c>
      <c r="L255" s="61"/>
      <c r="M255" s="65" t="s">
        <v>365</v>
      </c>
      <c r="N255" s="61"/>
      <c r="O255" s="61"/>
      <c r="P255" s="61"/>
      <c r="Q255" s="61"/>
      <c r="R255" s="61">
        <v>544339</v>
      </c>
      <c r="S255" s="66" t="s">
        <v>843</v>
      </c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 s="61" t="s">
        <v>314</v>
      </c>
      <c r="B256" s="62">
        <v>46094</v>
      </c>
      <c r="C256" s="63" t="s">
        <v>2187</v>
      </c>
      <c r="D256" s="67">
        <v>4130</v>
      </c>
      <c r="E256" s="67"/>
      <c r="F256" s="61" t="str">
        <f t="shared" si="3"/>
        <v>借</v>
      </c>
      <c r="G256" s="64">
        <f>SUM(D$6:E256)</f>
        <v>14063482</v>
      </c>
      <c r="H256" s="61"/>
      <c r="I256" s="61" t="s">
        <v>2188</v>
      </c>
      <c r="J256" s="61" t="s">
        <v>114</v>
      </c>
      <c r="K256" s="64">
        <v>4130</v>
      </c>
      <c r="L256" s="61"/>
      <c r="M256" s="65" t="s">
        <v>272</v>
      </c>
      <c r="N256" s="61"/>
      <c r="O256" s="61"/>
      <c r="P256" s="61"/>
      <c r="Q256" s="61"/>
      <c r="R256" s="61">
        <v>544339</v>
      </c>
      <c r="S256" s="66" t="s">
        <v>843</v>
      </c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 s="61" t="s">
        <v>314</v>
      </c>
      <c r="B257" s="62">
        <v>46094</v>
      </c>
      <c r="C257" s="63" t="s">
        <v>2189</v>
      </c>
      <c r="D257" s="67">
        <v>6041</v>
      </c>
      <c r="E257" s="67"/>
      <c r="F257" s="61" t="str">
        <f t="shared" si="3"/>
        <v>借</v>
      </c>
      <c r="G257" s="64">
        <f>SUM(D$6:E257)</f>
        <v>14069523</v>
      </c>
      <c r="H257" s="61"/>
      <c r="I257" s="61" t="s">
        <v>2190</v>
      </c>
      <c r="J257" s="61" t="s">
        <v>114</v>
      </c>
      <c r="K257" s="64">
        <v>6041</v>
      </c>
      <c r="L257" s="61"/>
      <c r="M257" s="65" t="s">
        <v>280</v>
      </c>
      <c r="N257" s="61"/>
      <c r="O257" s="61"/>
      <c r="P257" s="61"/>
      <c r="Q257" s="61"/>
      <c r="R257" s="61">
        <v>544339</v>
      </c>
      <c r="S257" s="66" t="s">
        <v>843</v>
      </c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 s="61" t="s">
        <v>314</v>
      </c>
      <c r="B258" s="62">
        <v>46094</v>
      </c>
      <c r="C258" s="63" t="s">
        <v>2191</v>
      </c>
      <c r="D258" s="67">
        <v>7500</v>
      </c>
      <c r="E258" s="67"/>
      <c r="F258" s="61" t="str">
        <f t="shared" si="3"/>
        <v>借</v>
      </c>
      <c r="G258" s="64">
        <f>SUM(D$6:E258)</f>
        <v>14077023</v>
      </c>
      <c r="H258" s="61"/>
      <c r="I258" s="61" t="s">
        <v>2192</v>
      </c>
      <c r="J258" s="61" t="s">
        <v>114</v>
      </c>
      <c r="K258" s="64">
        <v>7500</v>
      </c>
      <c r="L258" s="61"/>
      <c r="M258" s="65" t="s">
        <v>327</v>
      </c>
      <c r="N258" s="61"/>
      <c r="O258" s="61"/>
      <c r="P258" s="61"/>
      <c r="Q258" s="61"/>
      <c r="R258" s="61">
        <v>544339</v>
      </c>
      <c r="S258" s="66" t="s">
        <v>843</v>
      </c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 s="61" t="s">
        <v>314</v>
      </c>
      <c r="B259" s="62">
        <v>46094</v>
      </c>
      <c r="C259" s="63" t="s">
        <v>2193</v>
      </c>
      <c r="D259" s="67">
        <v>6060</v>
      </c>
      <c r="E259" s="67"/>
      <c r="F259" s="61" t="str">
        <f t="shared" si="3"/>
        <v>借</v>
      </c>
      <c r="G259" s="64">
        <f>SUM(D$6:E259)</f>
        <v>14083083</v>
      </c>
      <c r="H259" s="61"/>
      <c r="I259" s="61" t="s">
        <v>2194</v>
      </c>
      <c r="J259" s="61" t="s">
        <v>114</v>
      </c>
      <c r="K259" s="64">
        <v>6060</v>
      </c>
      <c r="L259" s="61"/>
      <c r="M259" s="65" t="s">
        <v>281</v>
      </c>
      <c r="N259" s="61"/>
      <c r="O259" s="61"/>
      <c r="P259" s="61"/>
      <c r="Q259" s="61"/>
      <c r="R259" s="61">
        <v>544339</v>
      </c>
      <c r="S259" s="66" t="s">
        <v>843</v>
      </c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 s="61" t="s">
        <v>314</v>
      </c>
      <c r="B260" s="62">
        <v>46094</v>
      </c>
      <c r="C260" s="63" t="s">
        <v>2195</v>
      </c>
      <c r="D260" s="67">
        <v>27500</v>
      </c>
      <c r="E260" s="67"/>
      <c r="F260" s="61" t="str">
        <f t="shared" si="3"/>
        <v>借</v>
      </c>
      <c r="G260" s="64">
        <f>SUM(D$6:E260)</f>
        <v>14110583</v>
      </c>
      <c r="H260" s="61"/>
      <c r="I260" s="61" t="s">
        <v>2196</v>
      </c>
      <c r="J260" s="61" t="s">
        <v>114</v>
      </c>
      <c r="K260" s="64">
        <v>27500</v>
      </c>
      <c r="L260" s="61"/>
      <c r="M260" s="65" t="s">
        <v>1189</v>
      </c>
      <c r="N260" s="61"/>
      <c r="O260" s="61"/>
      <c r="P260" s="61"/>
      <c r="Q260" s="61"/>
      <c r="R260" s="61">
        <v>544339</v>
      </c>
      <c r="S260" s="66" t="s">
        <v>843</v>
      </c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 s="61" t="s">
        <v>314</v>
      </c>
      <c r="B261" s="62">
        <v>46094</v>
      </c>
      <c r="C261" s="63" t="s">
        <v>2197</v>
      </c>
      <c r="D261" s="67">
        <v>47276</v>
      </c>
      <c r="E261" s="67"/>
      <c r="F261" s="61" t="str">
        <f t="shared" si="3"/>
        <v>借</v>
      </c>
      <c r="G261" s="64">
        <f>SUM(D$6:E261)</f>
        <v>14157859</v>
      </c>
      <c r="H261" s="61"/>
      <c r="I261" s="61" t="s">
        <v>2198</v>
      </c>
      <c r="J261" s="61" t="s">
        <v>114</v>
      </c>
      <c r="K261" s="64">
        <v>47276</v>
      </c>
      <c r="L261" s="61"/>
      <c r="M261" s="65" t="s">
        <v>295</v>
      </c>
      <c r="N261" s="61"/>
      <c r="O261" s="61"/>
      <c r="P261" s="61"/>
      <c r="Q261" s="61"/>
      <c r="R261" s="61">
        <v>544339</v>
      </c>
      <c r="S261" s="66" t="s">
        <v>843</v>
      </c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 s="61" t="s">
        <v>314</v>
      </c>
      <c r="B262" s="62">
        <v>46094</v>
      </c>
      <c r="C262" s="63" t="s">
        <v>2199</v>
      </c>
      <c r="D262" s="67">
        <v>33600</v>
      </c>
      <c r="E262" s="67"/>
      <c r="F262" s="61" t="str">
        <f t="shared" si="3"/>
        <v>借</v>
      </c>
      <c r="G262" s="64">
        <f>SUM(D$6:E262)</f>
        <v>14191459</v>
      </c>
      <c r="H262" s="61"/>
      <c r="I262" s="61" t="s">
        <v>2200</v>
      </c>
      <c r="J262" s="61" t="s">
        <v>114</v>
      </c>
      <c r="K262" s="64">
        <v>33600</v>
      </c>
      <c r="L262" s="61"/>
      <c r="M262" s="65" t="s">
        <v>2201</v>
      </c>
      <c r="N262" s="61"/>
      <c r="O262" s="61"/>
      <c r="P262" s="61"/>
      <c r="Q262" s="61"/>
      <c r="R262" s="61">
        <v>544339</v>
      </c>
      <c r="S262" s="66" t="s">
        <v>843</v>
      </c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 s="61" t="s">
        <v>314</v>
      </c>
      <c r="B263" s="62">
        <v>46094</v>
      </c>
      <c r="C263" s="63" t="s">
        <v>2202</v>
      </c>
      <c r="D263" s="67">
        <v>112500</v>
      </c>
      <c r="E263" s="67"/>
      <c r="F263" s="61" t="str">
        <f t="shared" ref="F263:F326" si="4">IF(G263&gt;0,"借","貸")</f>
        <v>借</v>
      </c>
      <c r="G263" s="64">
        <f>SUM(D$6:E263)</f>
        <v>14303959</v>
      </c>
      <c r="H263" s="61"/>
      <c r="I263" s="61" t="s">
        <v>2203</v>
      </c>
      <c r="J263" s="61" t="s">
        <v>114</v>
      </c>
      <c r="K263" s="64">
        <v>112500</v>
      </c>
      <c r="L263" s="61"/>
      <c r="M263" s="65" t="s">
        <v>1667</v>
      </c>
      <c r="N263" s="61"/>
      <c r="O263" s="61"/>
      <c r="P263" s="61"/>
      <c r="Q263" s="61"/>
      <c r="R263" s="61">
        <v>544339</v>
      </c>
      <c r="S263" s="66" t="s">
        <v>843</v>
      </c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 s="61" t="s">
        <v>314</v>
      </c>
      <c r="B264" s="62">
        <v>46094</v>
      </c>
      <c r="C264" s="63" t="s">
        <v>2204</v>
      </c>
      <c r="D264" s="67">
        <v>7000</v>
      </c>
      <c r="E264" s="67"/>
      <c r="F264" s="61" t="str">
        <f t="shared" si="4"/>
        <v>借</v>
      </c>
      <c r="G264" s="64">
        <f>SUM(D$6:E264)</f>
        <v>14310959</v>
      </c>
      <c r="H264" s="61"/>
      <c r="I264" s="61" t="s">
        <v>2205</v>
      </c>
      <c r="J264" s="61" t="s">
        <v>114</v>
      </c>
      <c r="K264" s="64">
        <v>7000</v>
      </c>
      <c r="L264" s="61"/>
      <c r="M264" s="65" t="s">
        <v>366</v>
      </c>
      <c r="N264" s="61"/>
      <c r="O264" s="61"/>
      <c r="P264" s="61"/>
      <c r="Q264" s="61"/>
      <c r="R264" s="61">
        <v>544339</v>
      </c>
      <c r="S264" s="66" t="s">
        <v>843</v>
      </c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 s="61" t="s">
        <v>314</v>
      </c>
      <c r="B265" s="62">
        <v>46094</v>
      </c>
      <c r="C265" s="63" t="s">
        <v>2206</v>
      </c>
      <c r="D265" s="67">
        <v>5510</v>
      </c>
      <c r="E265" s="67"/>
      <c r="F265" s="61" t="str">
        <f t="shared" si="4"/>
        <v>借</v>
      </c>
      <c r="G265" s="64">
        <f>SUM(D$6:E265)</f>
        <v>14316469</v>
      </c>
      <c r="H265" s="61"/>
      <c r="I265" s="61" t="s">
        <v>2207</v>
      </c>
      <c r="J265" s="61" t="s">
        <v>114</v>
      </c>
      <c r="K265" s="64">
        <v>5510</v>
      </c>
      <c r="L265" s="61"/>
      <c r="M265" s="65" t="s">
        <v>1146</v>
      </c>
      <c r="N265" s="61"/>
      <c r="O265" s="61"/>
      <c r="P265" s="61"/>
      <c r="Q265" s="61"/>
      <c r="R265" s="61">
        <v>544339</v>
      </c>
      <c r="S265" s="66" t="s">
        <v>843</v>
      </c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 s="61" t="s">
        <v>314</v>
      </c>
      <c r="B266" s="62">
        <v>46094</v>
      </c>
      <c r="C266" s="63" t="s">
        <v>2208</v>
      </c>
      <c r="D266" s="67">
        <v>5056</v>
      </c>
      <c r="E266" s="67"/>
      <c r="F266" s="61" t="str">
        <f t="shared" si="4"/>
        <v>借</v>
      </c>
      <c r="G266" s="64">
        <f>SUM(D$6:E266)</f>
        <v>14321525</v>
      </c>
      <c r="H266" s="61"/>
      <c r="I266" s="61" t="s">
        <v>2209</v>
      </c>
      <c r="J266" s="61" t="s">
        <v>114</v>
      </c>
      <c r="K266" s="64">
        <v>5056</v>
      </c>
      <c r="L266" s="61"/>
      <c r="M266" s="65" t="s">
        <v>297</v>
      </c>
      <c r="N266" s="61"/>
      <c r="O266" s="61"/>
      <c r="P266" s="61"/>
      <c r="Q266" s="61"/>
      <c r="R266" s="61">
        <v>544339</v>
      </c>
      <c r="S266" s="66" t="s">
        <v>843</v>
      </c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 s="61" t="s">
        <v>314</v>
      </c>
      <c r="B267" s="62">
        <v>46094</v>
      </c>
      <c r="C267" s="63" t="s">
        <v>2210</v>
      </c>
      <c r="D267" s="67">
        <v>8000</v>
      </c>
      <c r="E267" s="67"/>
      <c r="F267" s="61" t="str">
        <f t="shared" si="4"/>
        <v>借</v>
      </c>
      <c r="G267" s="64">
        <f>SUM(D$6:E267)</f>
        <v>14329525</v>
      </c>
      <c r="H267" s="61"/>
      <c r="I267" s="61" t="s">
        <v>2211</v>
      </c>
      <c r="J267" s="61" t="s">
        <v>114</v>
      </c>
      <c r="K267" s="64">
        <v>8000</v>
      </c>
      <c r="L267" s="61"/>
      <c r="M267" s="65" t="s">
        <v>1091</v>
      </c>
      <c r="N267" s="61"/>
      <c r="O267" s="61"/>
      <c r="P267" s="61"/>
      <c r="Q267" s="61"/>
      <c r="R267" s="61">
        <v>544339</v>
      </c>
      <c r="S267" s="66" t="s">
        <v>843</v>
      </c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 s="61" t="s">
        <v>314</v>
      </c>
      <c r="B268" s="62">
        <v>46094</v>
      </c>
      <c r="C268" s="63" t="s">
        <v>2212</v>
      </c>
      <c r="D268" s="67">
        <v>10000</v>
      </c>
      <c r="E268" s="67"/>
      <c r="F268" s="61" t="str">
        <f t="shared" si="4"/>
        <v>借</v>
      </c>
      <c r="G268" s="64">
        <f>SUM(D$6:E268)</f>
        <v>14339525</v>
      </c>
      <c r="H268" s="61"/>
      <c r="I268" s="61" t="s">
        <v>2213</v>
      </c>
      <c r="J268" s="61" t="s">
        <v>114</v>
      </c>
      <c r="K268" s="64">
        <v>10000</v>
      </c>
      <c r="L268" s="61"/>
      <c r="M268" s="65" t="s">
        <v>1038</v>
      </c>
      <c r="N268" s="61"/>
      <c r="O268" s="61"/>
      <c r="P268" s="61"/>
      <c r="Q268" s="61"/>
      <c r="R268" s="61">
        <v>544339</v>
      </c>
      <c r="S268" s="66" t="s">
        <v>843</v>
      </c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 s="61" t="s">
        <v>314</v>
      </c>
      <c r="B269" s="62">
        <v>46094</v>
      </c>
      <c r="C269" s="63" t="s">
        <v>2214</v>
      </c>
      <c r="D269" s="67">
        <v>54187</v>
      </c>
      <c r="E269" s="67"/>
      <c r="F269" s="61" t="str">
        <f t="shared" si="4"/>
        <v>借</v>
      </c>
      <c r="G269" s="64">
        <f>SUM(D$6:E269)</f>
        <v>14393712</v>
      </c>
      <c r="H269" s="61"/>
      <c r="I269" s="61" t="s">
        <v>2215</v>
      </c>
      <c r="J269" s="61" t="s">
        <v>114</v>
      </c>
      <c r="K269" s="64">
        <v>54187</v>
      </c>
      <c r="L269" s="61"/>
      <c r="M269" s="65" t="s">
        <v>301</v>
      </c>
      <c r="N269" s="61"/>
      <c r="O269" s="61"/>
      <c r="P269" s="61"/>
      <c r="Q269" s="61"/>
      <c r="R269" s="61">
        <v>544339</v>
      </c>
      <c r="S269" s="66" t="s">
        <v>843</v>
      </c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 s="61" t="s">
        <v>314</v>
      </c>
      <c r="B270" s="62">
        <v>46094</v>
      </c>
      <c r="C270" s="63" t="s">
        <v>2216</v>
      </c>
      <c r="D270" s="67">
        <v>33106</v>
      </c>
      <c r="E270" s="67"/>
      <c r="F270" s="61" t="str">
        <f t="shared" si="4"/>
        <v>借</v>
      </c>
      <c r="G270" s="64">
        <f>SUM(D$6:E270)</f>
        <v>14426818</v>
      </c>
      <c r="H270" s="61"/>
      <c r="I270" s="61" t="s">
        <v>2217</v>
      </c>
      <c r="J270" s="61" t="s">
        <v>114</v>
      </c>
      <c r="K270" s="64">
        <v>33106</v>
      </c>
      <c r="L270" s="61"/>
      <c r="M270" s="65" t="s">
        <v>298</v>
      </c>
      <c r="N270" s="61"/>
      <c r="O270" s="61"/>
      <c r="P270" s="61"/>
      <c r="Q270" s="61"/>
      <c r="R270" s="61">
        <v>544339</v>
      </c>
      <c r="S270" s="66" t="s">
        <v>843</v>
      </c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 s="61" t="s">
        <v>314</v>
      </c>
      <c r="B271" s="62">
        <v>46094</v>
      </c>
      <c r="C271" s="63" t="s">
        <v>2218</v>
      </c>
      <c r="D271" s="67">
        <v>8000</v>
      </c>
      <c r="E271" s="67"/>
      <c r="F271" s="61" t="str">
        <f t="shared" si="4"/>
        <v>借</v>
      </c>
      <c r="G271" s="64">
        <f>SUM(D$6:E271)</f>
        <v>14434818</v>
      </c>
      <c r="H271" s="61"/>
      <c r="I271" s="61" t="s">
        <v>2219</v>
      </c>
      <c r="J271" s="61" t="s">
        <v>114</v>
      </c>
      <c r="K271" s="64">
        <v>8000</v>
      </c>
      <c r="L271" s="61"/>
      <c r="M271" s="65" t="s">
        <v>290</v>
      </c>
      <c r="N271" s="61"/>
      <c r="O271" s="61"/>
      <c r="P271" s="61"/>
      <c r="Q271" s="61"/>
      <c r="R271" s="61">
        <v>544339</v>
      </c>
      <c r="S271" s="66" t="s">
        <v>843</v>
      </c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 s="61" t="s">
        <v>314</v>
      </c>
      <c r="B272" s="62">
        <v>46094</v>
      </c>
      <c r="C272" s="63" t="s">
        <v>2220</v>
      </c>
      <c r="D272" s="67">
        <v>3000</v>
      </c>
      <c r="E272" s="67"/>
      <c r="F272" s="61" t="str">
        <f t="shared" si="4"/>
        <v>借</v>
      </c>
      <c r="G272" s="64">
        <f>SUM(D$6:E272)</f>
        <v>14437818</v>
      </c>
      <c r="H272" s="61"/>
      <c r="I272" s="61" t="s">
        <v>2221</v>
      </c>
      <c r="J272" s="61" t="s">
        <v>114</v>
      </c>
      <c r="K272" s="64">
        <v>3000</v>
      </c>
      <c r="L272" s="61"/>
      <c r="M272" s="65" t="s">
        <v>287</v>
      </c>
      <c r="N272" s="61"/>
      <c r="O272" s="61"/>
      <c r="P272" s="61"/>
      <c r="Q272" s="61"/>
      <c r="R272" s="61">
        <v>544339</v>
      </c>
      <c r="S272" s="66" t="s">
        <v>843</v>
      </c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 s="61" t="s">
        <v>314</v>
      </c>
      <c r="B273" s="62">
        <v>46094</v>
      </c>
      <c r="C273" s="63" t="s">
        <v>2222</v>
      </c>
      <c r="D273" s="67">
        <v>28350</v>
      </c>
      <c r="E273" s="67"/>
      <c r="F273" s="61" t="str">
        <f t="shared" si="4"/>
        <v>借</v>
      </c>
      <c r="G273" s="64">
        <f>SUM(D$6:E273)</f>
        <v>14466168</v>
      </c>
      <c r="H273" s="61"/>
      <c r="I273" s="61" t="s">
        <v>2223</v>
      </c>
      <c r="J273" s="61" t="s">
        <v>114</v>
      </c>
      <c r="K273" s="64">
        <v>28350</v>
      </c>
      <c r="L273" s="61"/>
      <c r="M273" s="65" t="s">
        <v>367</v>
      </c>
      <c r="N273" s="61"/>
      <c r="O273" s="61"/>
      <c r="P273" s="61"/>
      <c r="Q273" s="61"/>
      <c r="R273" s="61">
        <v>544339</v>
      </c>
      <c r="S273" s="66" t="s">
        <v>843</v>
      </c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 s="61" t="s">
        <v>314</v>
      </c>
      <c r="B274" s="62">
        <v>46094</v>
      </c>
      <c r="C274" s="63" t="s">
        <v>2224</v>
      </c>
      <c r="D274" s="67">
        <v>7040</v>
      </c>
      <c r="E274" s="67"/>
      <c r="F274" s="61" t="str">
        <f t="shared" si="4"/>
        <v>借</v>
      </c>
      <c r="G274" s="64">
        <f>SUM(D$6:E274)</f>
        <v>14473208</v>
      </c>
      <c r="H274" s="61"/>
      <c r="I274" s="61" t="s">
        <v>2225</v>
      </c>
      <c r="J274" s="61" t="s">
        <v>114</v>
      </c>
      <c r="K274" s="64">
        <v>7040</v>
      </c>
      <c r="L274" s="61"/>
      <c r="M274" s="65" t="s">
        <v>1620</v>
      </c>
      <c r="N274" s="61"/>
      <c r="O274" s="61"/>
      <c r="P274" s="61"/>
      <c r="Q274" s="61"/>
      <c r="R274" s="61">
        <v>544339</v>
      </c>
      <c r="S274" s="66" t="s">
        <v>843</v>
      </c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 s="61" t="s">
        <v>314</v>
      </c>
      <c r="B275" s="62">
        <v>46094</v>
      </c>
      <c r="C275" s="63" t="s">
        <v>2226</v>
      </c>
      <c r="D275" s="67">
        <v>70265</v>
      </c>
      <c r="E275" s="67"/>
      <c r="F275" s="61" t="str">
        <f t="shared" si="4"/>
        <v>借</v>
      </c>
      <c r="G275" s="64">
        <f>SUM(D$6:E275)</f>
        <v>14543473</v>
      </c>
      <c r="H275" s="61"/>
      <c r="I275" s="61" t="s">
        <v>2227</v>
      </c>
      <c r="J275" s="61" t="s">
        <v>114</v>
      </c>
      <c r="K275" s="64">
        <v>70265</v>
      </c>
      <c r="L275" s="61"/>
      <c r="M275" s="65" t="s">
        <v>266</v>
      </c>
      <c r="N275" s="61"/>
      <c r="O275" s="61"/>
      <c r="P275" s="61"/>
      <c r="Q275" s="61"/>
      <c r="R275" s="61">
        <v>544339</v>
      </c>
      <c r="S275" s="66" t="s">
        <v>843</v>
      </c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 s="61" t="s">
        <v>314</v>
      </c>
      <c r="B276" s="62">
        <v>46094</v>
      </c>
      <c r="C276" s="63" t="s">
        <v>2228</v>
      </c>
      <c r="D276" s="67">
        <v>5000</v>
      </c>
      <c r="E276" s="67"/>
      <c r="F276" s="61" t="str">
        <f t="shared" si="4"/>
        <v>借</v>
      </c>
      <c r="G276" s="64">
        <f>SUM(D$6:E276)</f>
        <v>14548473</v>
      </c>
      <c r="H276" s="61"/>
      <c r="I276" s="61" t="s">
        <v>2229</v>
      </c>
      <c r="J276" s="61" t="s">
        <v>114</v>
      </c>
      <c r="K276" s="64">
        <v>5000</v>
      </c>
      <c r="L276" s="61"/>
      <c r="M276" s="65" t="s">
        <v>369</v>
      </c>
      <c r="N276" s="61"/>
      <c r="O276" s="61"/>
      <c r="P276" s="61"/>
      <c r="Q276" s="61"/>
      <c r="R276" s="61">
        <v>544339</v>
      </c>
      <c r="S276" s="66" t="s">
        <v>843</v>
      </c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 s="61" t="s">
        <v>314</v>
      </c>
      <c r="B277" s="62">
        <v>46094</v>
      </c>
      <c r="C277" s="63" t="s">
        <v>2230</v>
      </c>
      <c r="D277" s="67">
        <v>5000</v>
      </c>
      <c r="E277" s="67"/>
      <c r="F277" s="61" t="str">
        <f t="shared" si="4"/>
        <v>借</v>
      </c>
      <c r="G277" s="64">
        <f>SUM(D$6:E277)</f>
        <v>14553473</v>
      </c>
      <c r="H277" s="61"/>
      <c r="I277" s="61" t="s">
        <v>2231</v>
      </c>
      <c r="J277" s="61" t="s">
        <v>114</v>
      </c>
      <c r="K277" s="64">
        <v>5000</v>
      </c>
      <c r="L277" s="61"/>
      <c r="M277" s="65" t="s">
        <v>1190</v>
      </c>
      <c r="N277" s="61"/>
      <c r="O277" s="61"/>
      <c r="P277" s="61"/>
      <c r="Q277" s="61"/>
      <c r="R277" s="61">
        <v>544339</v>
      </c>
      <c r="S277" s="66" t="s">
        <v>843</v>
      </c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 s="61" t="s">
        <v>314</v>
      </c>
      <c r="B278" s="62">
        <v>46094</v>
      </c>
      <c r="C278" s="63" t="s">
        <v>2232</v>
      </c>
      <c r="D278" s="67">
        <v>5000</v>
      </c>
      <c r="E278" s="67"/>
      <c r="F278" s="61" t="str">
        <f t="shared" si="4"/>
        <v>借</v>
      </c>
      <c r="G278" s="64">
        <f>SUM(D$6:E278)</f>
        <v>14558473</v>
      </c>
      <c r="H278" s="61"/>
      <c r="I278" s="61" t="s">
        <v>2233</v>
      </c>
      <c r="J278" s="61" t="s">
        <v>114</v>
      </c>
      <c r="K278" s="64">
        <v>5000</v>
      </c>
      <c r="L278" s="61"/>
      <c r="M278" s="65" t="s">
        <v>292</v>
      </c>
      <c r="N278" s="61"/>
      <c r="O278" s="61"/>
      <c r="P278" s="61"/>
      <c r="Q278" s="61"/>
      <c r="R278" s="61">
        <v>544339</v>
      </c>
      <c r="S278" s="66" t="s">
        <v>843</v>
      </c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 s="61" t="s">
        <v>314</v>
      </c>
      <c r="B279" s="62">
        <v>46094</v>
      </c>
      <c r="C279" s="63" t="s">
        <v>2234</v>
      </c>
      <c r="D279" s="67">
        <v>20426</v>
      </c>
      <c r="E279" s="67"/>
      <c r="F279" s="61" t="str">
        <f t="shared" si="4"/>
        <v>借</v>
      </c>
      <c r="G279" s="64">
        <f>SUM(D$6:E279)</f>
        <v>14578899</v>
      </c>
      <c r="H279" s="61"/>
      <c r="I279" s="61" t="s">
        <v>2235</v>
      </c>
      <c r="J279" s="61" t="s">
        <v>114</v>
      </c>
      <c r="K279" s="64">
        <v>20426</v>
      </c>
      <c r="L279" s="61"/>
      <c r="M279" s="65" t="s">
        <v>1092</v>
      </c>
      <c r="N279" s="61"/>
      <c r="O279" s="61"/>
      <c r="P279" s="61"/>
      <c r="Q279" s="61"/>
      <c r="R279" s="61">
        <v>544339</v>
      </c>
      <c r="S279" s="66" t="s">
        <v>843</v>
      </c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 s="61" t="s">
        <v>314</v>
      </c>
      <c r="B280" s="62">
        <v>46094</v>
      </c>
      <c r="C280" s="63" t="s">
        <v>2236</v>
      </c>
      <c r="D280" s="67">
        <v>9500</v>
      </c>
      <c r="E280" s="67"/>
      <c r="F280" s="61" t="str">
        <f t="shared" si="4"/>
        <v>借</v>
      </c>
      <c r="G280" s="64">
        <f>SUM(D$6:E280)</f>
        <v>14588399</v>
      </c>
      <c r="H280" s="61"/>
      <c r="I280" s="61" t="s">
        <v>2237</v>
      </c>
      <c r="J280" s="61" t="s">
        <v>114</v>
      </c>
      <c r="K280" s="64">
        <v>9500</v>
      </c>
      <c r="L280" s="61"/>
      <c r="M280" s="65" t="s">
        <v>370</v>
      </c>
      <c r="N280" s="61"/>
      <c r="O280" s="61"/>
      <c r="P280" s="61"/>
      <c r="Q280" s="61"/>
      <c r="R280" s="61">
        <v>544339</v>
      </c>
      <c r="S280" s="66" t="s">
        <v>843</v>
      </c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 s="61" t="s">
        <v>314</v>
      </c>
      <c r="B281" s="62">
        <v>46094</v>
      </c>
      <c r="C281" s="63" t="s">
        <v>2238</v>
      </c>
      <c r="D281" s="67">
        <v>10500</v>
      </c>
      <c r="E281" s="67"/>
      <c r="F281" s="61" t="str">
        <f t="shared" si="4"/>
        <v>借</v>
      </c>
      <c r="G281" s="64">
        <f>SUM(D$6:E281)</f>
        <v>14598899</v>
      </c>
      <c r="H281" s="61"/>
      <c r="I281" s="61" t="s">
        <v>2239</v>
      </c>
      <c r="J281" s="61" t="s">
        <v>114</v>
      </c>
      <c r="K281" s="64">
        <v>10500</v>
      </c>
      <c r="L281" s="61"/>
      <c r="M281" s="65" t="s">
        <v>978</v>
      </c>
      <c r="N281" s="61"/>
      <c r="O281" s="61"/>
      <c r="P281" s="61"/>
      <c r="Q281" s="61"/>
      <c r="R281" s="61">
        <v>544339</v>
      </c>
      <c r="S281" s="66" t="s">
        <v>843</v>
      </c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 s="61" t="s">
        <v>314</v>
      </c>
      <c r="B282" s="62">
        <v>46094</v>
      </c>
      <c r="C282" s="63" t="s">
        <v>2240</v>
      </c>
      <c r="D282" s="67">
        <v>10018</v>
      </c>
      <c r="E282" s="67"/>
      <c r="F282" s="61" t="str">
        <f t="shared" si="4"/>
        <v>借</v>
      </c>
      <c r="G282" s="64">
        <f>SUM(D$6:E282)</f>
        <v>14608917</v>
      </c>
      <c r="H282" s="61"/>
      <c r="I282" s="61" t="s">
        <v>2241</v>
      </c>
      <c r="J282" s="61" t="s">
        <v>114</v>
      </c>
      <c r="K282" s="64">
        <v>10018</v>
      </c>
      <c r="L282" s="61"/>
      <c r="M282" s="65" t="s">
        <v>1093</v>
      </c>
      <c r="N282" s="61"/>
      <c r="O282" s="61"/>
      <c r="P282" s="61"/>
      <c r="Q282" s="61"/>
      <c r="R282" s="61">
        <v>544339</v>
      </c>
      <c r="S282" s="66" t="s">
        <v>843</v>
      </c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 s="61" t="s">
        <v>314</v>
      </c>
      <c r="B283" s="62">
        <v>46094</v>
      </c>
      <c r="C283" s="63" t="s">
        <v>2242</v>
      </c>
      <c r="D283" s="67">
        <v>5000</v>
      </c>
      <c r="E283" s="67"/>
      <c r="F283" s="61" t="str">
        <f t="shared" si="4"/>
        <v>借</v>
      </c>
      <c r="G283" s="64">
        <f>SUM(D$6:E283)</f>
        <v>14613917</v>
      </c>
      <c r="H283" s="61"/>
      <c r="I283" s="61" t="s">
        <v>2243</v>
      </c>
      <c r="J283" s="61" t="s">
        <v>114</v>
      </c>
      <c r="K283" s="64">
        <v>5000</v>
      </c>
      <c r="L283" s="61"/>
      <c r="M283" s="65" t="s">
        <v>1420</v>
      </c>
      <c r="N283" s="61"/>
      <c r="O283" s="61"/>
      <c r="P283" s="61"/>
      <c r="Q283" s="61"/>
      <c r="R283" s="61">
        <v>544339</v>
      </c>
      <c r="S283" s="66" t="s">
        <v>843</v>
      </c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 s="61" t="s">
        <v>314</v>
      </c>
      <c r="B284" s="62">
        <v>46094</v>
      </c>
      <c r="C284" s="63" t="s">
        <v>2244</v>
      </c>
      <c r="D284" s="67">
        <v>39290</v>
      </c>
      <c r="E284" s="67"/>
      <c r="F284" s="61" t="str">
        <f t="shared" si="4"/>
        <v>借</v>
      </c>
      <c r="G284" s="64">
        <f>SUM(D$6:E284)</f>
        <v>14653207</v>
      </c>
      <c r="H284" s="61"/>
      <c r="I284" s="61" t="s">
        <v>2245</v>
      </c>
      <c r="J284" s="61" t="s">
        <v>114</v>
      </c>
      <c r="K284" s="64">
        <v>39290</v>
      </c>
      <c r="L284" s="61"/>
      <c r="M284" s="65" t="s">
        <v>1639</v>
      </c>
      <c r="N284" s="61"/>
      <c r="O284" s="61"/>
      <c r="P284" s="61"/>
      <c r="Q284" s="61"/>
      <c r="R284" s="61">
        <v>544339</v>
      </c>
      <c r="S284" s="66" t="s">
        <v>843</v>
      </c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 s="61" t="s">
        <v>314</v>
      </c>
      <c r="B285" s="62">
        <v>46094</v>
      </c>
      <c r="C285" s="63" t="s">
        <v>2246</v>
      </c>
      <c r="D285" s="67">
        <v>28000</v>
      </c>
      <c r="E285" s="67"/>
      <c r="F285" s="61" t="str">
        <f t="shared" si="4"/>
        <v>借</v>
      </c>
      <c r="G285" s="64">
        <f>SUM(D$6:E285)</f>
        <v>14681207</v>
      </c>
      <c r="H285" s="61"/>
      <c r="I285" s="61" t="s">
        <v>2247</v>
      </c>
      <c r="J285" s="61" t="s">
        <v>114</v>
      </c>
      <c r="K285" s="64">
        <v>28000</v>
      </c>
      <c r="L285" s="61"/>
      <c r="M285" s="65" t="s">
        <v>1641</v>
      </c>
      <c r="N285" s="61"/>
      <c r="O285" s="61"/>
      <c r="P285" s="61"/>
      <c r="Q285" s="61"/>
      <c r="R285" s="61">
        <v>544339</v>
      </c>
      <c r="S285" s="66" t="s">
        <v>843</v>
      </c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 s="61" t="s">
        <v>314</v>
      </c>
      <c r="B286" s="62">
        <v>46094</v>
      </c>
      <c r="C286" s="63" t="s">
        <v>2248</v>
      </c>
      <c r="D286" s="67">
        <v>8000</v>
      </c>
      <c r="E286" s="67"/>
      <c r="F286" s="61" t="str">
        <f t="shared" si="4"/>
        <v>借</v>
      </c>
      <c r="G286" s="64">
        <f>SUM(D$6:E286)</f>
        <v>14689207</v>
      </c>
      <c r="H286" s="61"/>
      <c r="I286" s="61" t="s">
        <v>2249</v>
      </c>
      <c r="J286" s="61" t="s">
        <v>114</v>
      </c>
      <c r="K286" s="64">
        <v>8000</v>
      </c>
      <c r="L286" s="61"/>
      <c r="M286" s="65" t="s">
        <v>1644</v>
      </c>
      <c r="N286" s="61"/>
      <c r="O286" s="61"/>
      <c r="P286" s="61"/>
      <c r="Q286" s="61"/>
      <c r="R286" s="61">
        <v>544339</v>
      </c>
      <c r="S286" s="66" t="s">
        <v>843</v>
      </c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 s="61" t="s">
        <v>314</v>
      </c>
      <c r="B287" s="62">
        <v>46094</v>
      </c>
      <c r="C287" s="63" t="s">
        <v>2250</v>
      </c>
      <c r="D287" s="67">
        <v>10135</v>
      </c>
      <c r="E287" s="67"/>
      <c r="F287" s="61" t="str">
        <f t="shared" si="4"/>
        <v>借</v>
      </c>
      <c r="G287" s="64">
        <f>SUM(D$6:E287)</f>
        <v>14699342</v>
      </c>
      <c r="H287" s="61"/>
      <c r="I287" s="61" t="s">
        <v>2251</v>
      </c>
      <c r="J287" s="61" t="s">
        <v>114</v>
      </c>
      <c r="K287" s="64">
        <v>10135</v>
      </c>
      <c r="L287" s="61"/>
      <c r="M287" s="65" t="s">
        <v>1646</v>
      </c>
      <c r="N287" s="61"/>
      <c r="O287" s="61"/>
      <c r="P287" s="61"/>
      <c r="Q287" s="61"/>
      <c r="R287" s="61">
        <v>544339</v>
      </c>
      <c r="S287" s="66" t="s">
        <v>843</v>
      </c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 s="61" t="s">
        <v>314</v>
      </c>
      <c r="B288" s="62">
        <v>46094</v>
      </c>
      <c r="C288" s="63" t="s">
        <v>2252</v>
      </c>
      <c r="D288" s="67">
        <v>6000</v>
      </c>
      <c r="E288" s="67"/>
      <c r="F288" s="61" t="str">
        <f t="shared" si="4"/>
        <v>借</v>
      </c>
      <c r="G288" s="64">
        <f>SUM(D$6:E288)</f>
        <v>14705342</v>
      </c>
      <c r="H288" s="61"/>
      <c r="I288" s="61" t="s">
        <v>2253</v>
      </c>
      <c r="J288" s="61" t="s">
        <v>114</v>
      </c>
      <c r="K288" s="64">
        <v>6000</v>
      </c>
      <c r="L288" s="61"/>
      <c r="M288" s="65" t="s">
        <v>1649</v>
      </c>
      <c r="N288" s="61"/>
      <c r="O288" s="61"/>
      <c r="P288" s="61"/>
      <c r="Q288" s="61"/>
      <c r="R288" s="61">
        <v>544339</v>
      </c>
      <c r="S288" s="66" t="s">
        <v>843</v>
      </c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 s="61" t="s">
        <v>314</v>
      </c>
      <c r="B289" s="62">
        <v>46094</v>
      </c>
      <c r="C289" s="63" t="s">
        <v>2254</v>
      </c>
      <c r="D289" s="67">
        <v>10027</v>
      </c>
      <c r="E289" s="67"/>
      <c r="F289" s="61" t="str">
        <f t="shared" si="4"/>
        <v>借</v>
      </c>
      <c r="G289" s="64">
        <f>SUM(D$6:E289)</f>
        <v>14715369</v>
      </c>
      <c r="H289" s="61"/>
      <c r="I289" s="61" t="s">
        <v>2255</v>
      </c>
      <c r="J289" s="61" t="s">
        <v>114</v>
      </c>
      <c r="K289" s="64">
        <v>10027</v>
      </c>
      <c r="L289" s="61"/>
      <c r="M289" s="65" t="s">
        <v>1650</v>
      </c>
      <c r="N289" s="61"/>
      <c r="O289" s="61"/>
      <c r="P289" s="61"/>
      <c r="Q289" s="61"/>
      <c r="R289" s="61">
        <v>544339</v>
      </c>
      <c r="S289" s="66" t="s">
        <v>843</v>
      </c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 s="61" t="s">
        <v>314</v>
      </c>
      <c r="B290" s="62">
        <v>46094</v>
      </c>
      <c r="C290" s="63" t="s">
        <v>2256</v>
      </c>
      <c r="D290" s="67">
        <v>8000</v>
      </c>
      <c r="E290" s="67"/>
      <c r="F290" s="61" t="str">
        <f t="shared" si="4"/>
        <v>借</v>
      </c>
      <c r="G290" s="64">
        <f>SUM(D$6:E290)</f>
        <v>14723369</v>
      </c>
      <c r="H290" s="61"/>
      <c r="I290" s="61" t="s">
        <v>2257</v>
      </c>
      <c r="J290" s="61" t="s">
        <v>114</v>
      </c>
      <c r="K290" s="64">
        <v>8000</v>
      </c>
      <c r="L290" s="61"/>
      <c r="M290" s="65" t="s">
        <v>391</v>
      </c>
      <c r="N290" s="61"/>
      <c r="O290" s="61"/>
      <c r="P290" s="61"/>
      <c r="Q290" s="61"/>
      <c r="R290" s="61">
        <v>544339</v>
      </c>
      <c r="S290" s="66" t="s">
        <v>843</v>
      </c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 s="61" t="s">
        <v>314</v>
      </c>
      <c r="B291" s="62">
        <v>46094</v>
      </c>
      <c r="C291" s="63" t="s">
        <v>2258</v>
      </c>
      <c r="D291" s="67">
        <v>5022</v>
      </c>
      <c r="E291" s="67"/>
      <c r="F291" s="61" t="str">
        <f t="shared" si="4"/>
        <v>借</v>
      </c>
      <c r="G291" s="64">
        <f>SUM(D$6:E291)</f>
        <v>14728391</v>
      </c>
      <c r="H291" s="61"/>
      <c r="I291" s="61" t="s">
        <v>2259</v>
      </c>
      <c r="J291" s="61" t="s">
        <v>114</v>
      </c>
      <c r="K291" s="64">
        <v>5022</v>
      </c>
      <c r="L291" s="61"/>
      <c r="M291" s="65" t="s">
        <v>1180</v>
      </c>
      <c r="N291" s="61"/>
      <c r="O291" s="61"/>
      <c r="P291" s="61"/>
      <c r="Q291" s="61"/>
      <c r="R291" s="61">
        <v>544339</v>
      </c>
      <c r="S291" s="66" t="s">
        <v>843</v>
      </c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 s="61" t="s">
        <v>314</v>
      </c>
      <c r="B292" s="62">
        <v>46094</v>
      </c>
      <c r="C292" s="63" t="s">
        <v>2260</v>
      </c>
      <c r="D292" s="67">
        <v>120</v>
      </c>
      <c r="E292" s="67"/>
      <c r="F292" s="61" t="str">
        <f t="shared" si="4"/>
        <v>借</v>
      </c>
      <c r="G292" s="64">
        <f>SUM(D$6:E292)</f>
        <v>14728511</v>
      </c>
      <c r="H292" s="61"/>
      <c r="I292" s="61" t="s">
        <v>2261</v>
      </c>
      <c r="J292" s="61" t="s">
        <v>114</v>
      </c>
      <c r="K292" s="64">
        <v>120</v>
      </c>
      <c r="L292" s="61"/>
      <c r="M292" s="65" t="s">
        <v>1657</v>
      </c>
      <c r="N292" s="61"/>
      <c r="O292" s="61"/>
      <c r="P292" s="61"/>
      <c r="Q292" s="61"/>
      <c r="R292" s="61">
        <v>544339</v>
      </c>
      <c r="S292" s="66" t="s">
        <v>843</v>
      </c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 s="61" t="s">
        <v>314</v>
      </c>
      <c r="B293" s="62">
        <v>46094</v>
      </c>
      <c r="C293" s="63" t="s">
        <v>2262</v>
      </c>
      <c r="D293" s="67">
        <v>5000</v>
      </c>
      <c r="E293" s="67"/>
      <c r="F293" s="61" t="str">
        <f t="shared" si="4"/>
        <v>借</v>
      </c>
      <c r="G293" s="64">
        <f>SUM(D$6:E293)</f>
        <v>14733511</v>
      </c>
      <c r="H293" s="61"/>
      <c r="I293" s="61" t="s">
        <v>2263</v>
      </c>
      <c r="J293" s="61" t="s">
        <v>114</v>
      </c>
      <c r="K293" s="64">
        <v>5000</v>
      </c>
      <c r="L293" s="61"/>
      <c r="M293" s="65" t="s">
        <v>371</v>
      </c>
      <c r="N293" s="61"/>
      <c r="O293" s="61"/>
      <c r="P293" s="61"/>
      <c r="Q293" s="61"/>
      <c r="R293" s="61">
        <v>544339</v>
      </c>
      <c r="S293" s="66" t="s">
        <v>843</v>
      </c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 s="61" t="s">
        <v>314</v>
      </c>
      <c r="B294" s="62">
        <v>46094</v>
      </c>
      <c r="C294" s="63" t="s">
        <v>2264</v>
      </c>
      <c r="D294" s="67">
        <v>12097</v>
      </c>
      <c r="E294" s="67"/>
      <c r="F294" s="61" t="str">
        <f t="shared" si="4"/>
        <v>借</v>
      </c>
      <c r="G294" s="64">
        <f>SUM(D$6:E294)</f>
        <v>14745608</v>
      </c>
      <c r="H294" s="61"/>
      <c r="I294" s="61" t="s">
        <v>2265</v>
      </c>
      <c r="J294" s="61" t="s">
        <v>114</v>
      </c>
      <c r="K294" s="64">
        <v>12097</v>
      </c>
      <c r="L294" s="61"/>
      <c r="M294" s="65" t="s">
        <v>285</v>
      </c>
      <c r="N294" s="61"/>
      <c r="O294" s="61"/>
      <c r="P294" s="61"/>
      <c r="Q294" s="61"/>
      <c r="R294" s="61">
        <v>544339</v>
      </c>
      <c r="S294" s="66" t="s">
        <v>843</v>
      </c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 s="61" t="s">
        <v>314</v>
      </c>
      <c r="B295" s="62">
        <v>46094</v>
      </c>
      <c r="C295" s="63" t="s">
        <v>2266</v>
      </c>
      <c r="D295" s="67">
        <v>5000</v>
      </c>
      <c r="E295" s="67"/>
      <c r="F295" s="61" t="str">
        <f t="shared" si="4"/>
        <v>借</v>
      </c>
      <c r="G295" s="64">
        <f>SUM(D$6:E295)</f>
        <v>14750608</v>
      </c>
      <c r="H295" s="61"/>
      <c r="I295" s="61" t="s">
        <v>2267</v>
      </c>
      <c r="J295" s="61" t="s">
        <v>114</v>
      </c>
      <c r="K295" s="64">
        <v>5000</v>
      </c>
      <c r="L295" s="61"/>
      <c r="M295" s="65" t="s">
        <v>1094</v>
      </c>
      <c r="N295" s="61"/>
      <c r="O295" s="61"/>
      <c r="P295" s="61"/>
      <c r="Q295" s="61"/>
      <c r="R295" s="61">
        <v>544339</v>
      </c>
      <c r="S295" s="66" t="s">
        <v>843</v>
      </c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 s="61" t="s">
        <v>314</v>
      </c>
      <c r="B296" s="62">
        <v>46094</v>
      </c>
      <c r="C296" s="63" t="s">
        <v>2268</v>
      </c>
      <c r="D296" s="67">
        <v>5000</v>
      </c>
      <c r="E296" s="67"/>
      <c r="F296" s="61" t="str">
        <f t="shared" si="4"/>
        <v>借</v>
      </c>
      <c r="G296" s="64">
        <f>SUM(D$6:E296)</f>
        <v>14755608</v>
      </c>
      <c r="H296" s="61"/>
      <c r="I296" s="61" t="s">
        <v>2269</v>
      </c>
      <c r="J296" s="61" t="s">
        <v>114</v>
      </c>
      <c r="K296" s="64">
        <v>5000</v>
      </c>
      <c r="L296" s="61"/>
      <c r="M296" s="65" t="s">
        <v>1662</v>
      </c>
      <c r="N296" s="61"/>
      <c r="O296" s="61"/>
      <c r="P296" s="61"/>
      <c r="Q296" s="61"/>
      <c r="R296" s="61">
        <v>544339</v>
      </c>
      <c r="S296" s="66" t="s">
        <v>843</v>
      </c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 s="61" t="s">
        <v>314</v>
      </c>
      <c r="B297" s="62">
        <v>46094</v>
      </c>
      <c r="C297" s="63" t="s">
        <v>2270</v>
      </c>
      <c r="D297" s="67">
        <v>5000</v>
      </c>
      <c r="E297" s="67"/>
      <c r="F297" s="61" t="str">
        <f t="shared" si="4"/>
        <v>借</v>
      </c>
      <c r="G297" s="64">
        <f>SUM(D$6:E297)</f>
        <v>14760608</v>
      </c>
      <c r="H297" s="61"/>
      <c r="I297" s="61" t="s">
        <v>2271</v>
      </c>
      <c r="J297" s="61" t="s">
        <v>114</v>
      </c>
      <c r="K297" s="64">
        <v>5000</v>
      </c>
      <c r="L297" s="61"/>
      <c r="M297" s="65" t="s">
        <v>326</v>
      </c>
      <c r="N297" s="61"/>
      <c r="O297" s="61"/>
      <c r="P297" s="61"/>
      <c r="Q297" s="61"/>
      <c r="R297" s="61">
        <v>544339</v>
      </c>
      <c r="S297" s="66" t="s">
        <v>843</v>
      </c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 s="61" t="s">
        <v>314</v>
      </c>
      <c r="B298" s="62">
        <v>46094</v>
      </c>
      <c r="C298" s="63" t="s">
        <v>2272</v>
      </c>
      <c r="D298" s="67">
        <v>5035</v>
      </c>
      <c r="E298" s="67"/>
      <c r="F298" s="61" t="str">
        <f t="shared" si="4"/>
        <v>借</v>
      </c>
      <c r="G298" s="64">
        <f>SUM(D$6:E298)</f>
        <v>14765643</v>
      </c>
      <c r="H298" s="61"/>
      <c r="I298" s="61" t="s">
        <v>2273</v>
      </c>
      <c r="J298" s="61" t="s">
        <v>114</v>
      </c>
      <c r="K298" s="64">
        <v>5035</v>
      </c>
      <c r="L298" s="61"/>
      <c r="M298" s="65" t="s">
        <v>2274</v>
      </c>
      <c r="N298" s="61"/>
      <c r="O298" s="61"/>
      <c r="P298" s="61"/>
      <c r="Q298" s="61"/>
      <c r="R298" s="61">
        <v>544339</v>
      </c>
      <c r="S298" s="66" t="s">
        <v>843</v>
      </c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 s="61" t="s">
        <v>314</v>
      </c>
      <c r="B299" s="62">
        <v>46094</v>
      </c>
      <c r="C299" s="63" t="s">
        <v>2275</v>
      </c>
      <c r="D299" s="67">
        <v>71123</v>
      </c>
      <c r="E299" s="67"/>
      <c r="F299" s="61" t="str">
        <f t="shared" si="4"/>
        <v>借</v>
      </c>
      <c r="G299" s="64">
        <f>SUM(D$6:E299)</f>
        <v>14836766</v>
      </c>
      <c r="H299" s="61"/>
      <c r="I299" s="61" t="s">
        <v>2276</v>
      </c>
      <c r="J299" s="61" t="s">
        <v>114</v>
      </c>
      <c r="K299" s="64">
        <v>71123</v>
      </c>
      <c r="L299" s="61"/>
      <c r="M299" s="65" t="s">
        <v>1095</v>
      </c>
      <c r="N299" s="61"/>
      <c r="O299" s="61"/>
      <c r="P299" s="61"/>
      <c r="Q299" s="61"/>
      <c r="R299" s="61">
        <v>544339</v>
      </c>
      <c r="S299" s="66" t="s">
        <v>843</v>
      </c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 s="61" t="s">
        <v>314</v>
      </c>
      <c r="B300" s="62">
        <v>46094</v>
      </c>
      <c r="C300" s="63" t="s">
        <v>2277</v>
      </c>
      <c r="D300" s="67">
        <v>10730</v>
      </c>
      <c r="E300" s="67"/>
      <c r="F300" s="61" t="str">
        <f t="shared" si="4"/>
        <v>借</v>
      </c>
      <c r="G300" s="64">
        <f>SUM(D$6:E300)</f>
        <v>14847496</v>
      </c>
      <c r="H300" s="61"/>
      <c r="I300" s="61" t="s">
        <v>2278</v>
      </c>
      <c r="J300" s="61" t="s">
        <v>114</v>
      </c>
      <c r="K300" s="64">
        <v>10730</v>
      </c>
      <c r="L300" s="61"/>
      <c r="M300" s="65" t="s">
        <v>1668</v>
      </c>
      <c r="N300" s="61"/>
      <c r="O300" s="61"/>
      <c r="P300" s="61"/>
      <c r="Q300" s="61"/>
      <c r="R300" s="61">
        <v>544339</v>
      </c>
      <c r="S300" s="66" t="s">
        <v>843</v>
      </c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 s="61" t="s">
        <v>314</v>
      </c>
      <c r="B301" s="62">
        <v>46094</v>
      </c>
      <c r="C301" s="63" t="s">
        <v>2279</v>
      </c>
      <c r="D301" s="67">
        <v>3014</v>
      </c>
      <c r="E301" s="67"/>
      <c r="F301" s="61" t="str">
        <f t="shared" si="4"/>
        <v>借</v>
      </c>
      <c r="G301" s="64">
        <f>SUM(D$6:E301)</f>
        <v>14850510</v>
      </c>
      <c r="H301" s="61"/>
      <c r="I301" s="61" t="s">
        <v>2280</v>
      </c>
      <c r="J301" s="61" t="s">
        <v>114</v>
      </c>
      <c r="K301" s="64">
        <v>3014</v>
      </c>
      <c r="L301" s="61"/>
      <c r="M301" s="65" t="s">
        <v>1671</v>
      </c>
      <c r="N301" s="61"/>
      <c r="O301" s="61"/>
      <c r="P301" s="61"/>
      <c r="Q301" s="61"/>
      <c r="R301" s="61">
        <v>544339</v>
      </c>
      <c r="S301" s="66" t="s">
        <v>843</v>
      </c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 s="61" t="s">
        <v>314</v>
      </c>
      <c r="B302" s="62">
        <v>46094</v>
      </c>
      <c r="C302" s="63" t="s">
        <v>2281</v>
      </c>
      <c r="D302" s="67">
        <v>5030</v>
      </c>
      <c r="E302" s="67"/>
      <c r="F302" s="61" t="str">
        <f t="shared" si="4"/>
        <v>借</v>
      </c>
      <c r="G302" s="64">
        <f>SUM(D$6:E302)</f>
        <v>14855540</v>
      </c>
      <c r="H302" s="61"/>
      <c r="I302" s="61" t="s">
        <v>2282</v>
      </c>
      <c r="J302" s="61" t="s">
        <v>114</v>
      </c>
      <c r="K302" s="64">
        <v>5030</v>
      </c>
      <c r="L302" s="61"/>
      <c r="M302" s="65" t="s">
        <v>1432</v>
      </c>
      <c r="N302" s="61"/>
      <c r="O302" s="61"/>
      <c r="P302" s="61"/>
      <c r="Q302" s="61"/>
      <c r="R302" s="61">
        <v>544339</v>
      </c>
      <c r="S302" s="66" t="s">
        <v>843</v>
      </c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 s="61" t="s">
        <v>314</v>
      </c>
      <c r="B303" s="62">
        <v>46094</v>
      </c>
      <c r="C303" s="63" t="s">
        <v>2283</v>
      </c>
      <c r="D303" s="67">
        <v>3500</v>
      </c>
      <c r="E303" s="67"/>
      <c r="F303" s="61" t="str">
        <f t="shared" si="4"/>
        <v>借</v>
      </c>
      <c r="G303" s="64">
        <f>SUM(D$6:E303)</f>
        <v>14859040</v>
      </c>
      <c r="H303" s="61"/>
      <c r="I303" s="61" t="s">
        <v>2284</v>
      </c>
      <c r="J303" s="61" t="s">
        <v>114</v>
      </c>
      <c r="K303" s="64">
        <v>3500</v>
      </c>
      <c r="L303" s="61"/>
      <c r="M303" s="65" t="s">
        <v>933</v>
      </c>
      <c r="N303" s="61"/>
      <c r="O303" s="61"/>
      <c r="P303" s="61"/>
      <c r="Q303" s="61"/>
      <c r="R303" s="61">
        <v>544339</v>
      </c>
      <c r="S303" s="66" t="s">
        <v>843</v>
      </c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 s="61" t="s">
        <v>314</v>
      </c>
      <c r="B304" s="62">
        <v>46094</v>
      </c>
      <c r="C304" s="63" t="s">
        <v>2285</v>
      </c>
      <c r="D304" s="67">
        <v>35006</v>
      </c>
      <c r="E304" s="67"/>
      <c r="F304" s="61" t="str">
        <f t="shared" si="4"/>
        <v>借</v>
      </c>
      <c r="G304" s="64">
        <f>SUM(D$6:E304)</f>
        <v>14894046</v>
      </c>
      <c r="H304" s="61"/>
      <c r="I304" s="61" t="s">
        <v>2286</v>
      </c>
      <c r="J304" s="61" t="s">
        <v>114</v>
      </c>
      <c r="K304" s="64">
        <v>35006</v>
      </c>
      <c r="L304" s="61"/>
      <c r="M304" s="65" t="s">
        <v>372</v>
      </c>
      <c r="N304" s="61"/>
      <c r="O304" s="61"/>
      <c r="P304" s="61"/>
      <c r="Q304" s="61"/>
      <c r="R304" s="61">
        <v>544339</v>
      </c>
      <c r="S304" s="66" t="s">
        <v>843</v>
      </c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 s="61" t="s">
        <v>314</v>
      </c>
      <c r="B305" s="62">
        <v>46094</v>
      </c>
      <c r="C305" s="63" t="s">
        <v>2287</v>
      </c>
      <c r="D305" s="67">
        <v>8000</v>
      </c>
      <c r="E305" s="67"/>
      <c r="F305" s="61" t="str">
        <f t="shared" si="4"/>
        <v>借</v>
      </c>
      <c r="G305" s="64">
        <f>SUM(D$6:E305)</f>
        <v>14902046</v>
      </c>
      <c r="H305" s="61"/>
      <c r="I305" s="61" t="s">
        <v>2288</v>
      </c>
      <c r="J305" s="61" t="s">
        <v>114</v>
      </c>
      <c r="K305" s="64">
        <v>8000</v>
      </c>
      <c r="L305" s="61"/>
      <c r="M305" s="65" t="s">
        <v>1674</v>
      </c>
      <c r="N305" s="61"/>
      <c r="O305" s="61"/>
      <c r="P305" s="61"/>
      <c r="Q305" s="61"/>
      <c r="R305" s="61">
        <v>544339</v>
      </c>
      <c r="S305" s="66" t="s">
        <v>843</v>
      </c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 s="61" t="s">
        <v>314</v>
      </c>
      <c r="B306" s="62">
        <v>46094</v>
      </c>
      <c r="C306" s="63" t="s">
        <v>2289</v>
      </c>
      <c r="D306" s="67">
        <v>8000</v>
      </c>
      <c r="E306" s="67"/>
      <c r="F306" s="61" t="str">
        <f t="shared" si="4"/>
        <v>借</v>
      </c>
      <c r="G306" s="64">
        <f>SUM(D$6:E306)</f>
        <v>14910046</v>
      </c>
      <c r="H306" s="61"/>
      <c r="I306" s="61" t="s">
        <v>2290</v>
      </c>
      <c r="J306" s="61" t="s">
        <v>114</v>
      </c>
      <c r="K306" s="64">
        <v>8000</v>
      </c>
      <c r="L306" s="61"/>
      <c r="M306" s="65" t="s">
        <v>1675</v>
      </c>
      <c r="N306" s="61"/>
      <c r="O306" s="61"/>
      <c r="P306" s="61"/>
      <c r="Q306" s="61"/>
      <c r="R306" s="61">
        <v>544339</v>
      </c>
      <c r="S306" s="66" t="s">
        <v>843</v>
      </c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 s="61" t="s">
        <v>314</v>
      </c>
      <c r="B307" s="62">
        <v>46094</v>
      </c>
      <c r="C307" s="63" t="s">
        <v>2291</v>
      </c>
      <c r="D307" s="67">
        <v>10000</v>
      </c>
      <c r="E307" s="67"/>
      <c r="F307" s="61" t="str">
        <f t="shared" si="4"/>
        <v>借</v>
      </c>
      <c r="G307" s="64">
        <f>SUM(D$6:E307)</f>
        <v>14920046</v>
      </c>
      <c r="H307" s="61"/>
      <c r="I307" s="61" t="s">
        <v>2292</v>
      </c>
      <c r="J307" s="61" t="s">
        <v>114</v>
      </c>
      <c r="K307" s="64">
        <v>10000</v>
      </c>
      <c r="L307" s="61"/>
      <c r="M307" s="65" t="s">
        <v>1419</v>
      </c>
      <c r="N307" s="61"/>
      <c r="O307" s="61"/>
      <c r="P307" s="61"/>
      <c r="Q307" s="61"/>
      <c r="R307" s="61">
        <v>544339</v>
      </c>
      <c r="S307" s="66" t="s">
        <v>843</v>
      </c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 s="61" t="s">
        <v>314</v>
      </c>
      <c r="B308" s="62">
        <v>46094</v>
      </c>
      <c r="C308" s="63" t="s">
        <v>2293</v>
      </c>
      <c r="D308" s="67">
        <v>47500</v>
      </c>
      <c r="E308" s="67"/>
      <c r="F308" s="61" t="str">
        <f t="shared" si="4"/>
        <v>借</v>
      </c>
      <c r="G308" s="64">
        <f>SUM(D$6:E308)</f>
        <v>14967546</v>
      </c>
      <c r="H308" s="61"/>
      <c r="I308" s="61" t="s">
        <v>2294</v>
      </c>
      <c r="J308" s="61" t="s">
        <v>114</v>
      </c>
      <c r="K308" s="64">
        <v>47500</v>
      </c>
      <c r="L308" s="61"/>
      <c r="M308" s="65" t="s">
        <v>1433</v>
      </c>
      <c r="N308" s="61"/>
      <c r="O308" s="61"/>
      <c r="P308" s="61"/>
      <c r="Q308" s="61"/>
      <c r="R308" s="61">
        <v>544339</v>
      </c>
      <c r="S308" s="66" t="s">
        <v>843</v>
      </c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 s="61" t="s">
        <v>314</v>
      </c>
      <c r="B309" s="62">
        <v>46094</v>
      </c>
      <c r="C309" s="63" t="s">
        <v>2295</v>
      </c>
      <c r="D309" s="67">
        <v>3000</v>
      </c>
      <c r="E309" s="67"/>
      <c r="F309" s="61" t="str">
        <f t="shared" si="4"/>
        <v>借</v>
      </c>
      <c r="G309" s="64">
        <f>SUM(D$6:E309)</f>
        <v>14970546</v>
      </c>
      <c r="H309" s="61"/>
      <c r="I309" s="61" t="s">
        <v>2296</v>
      </c>
      <c r="J309" s="61" t="s">
        <v>114</v>
      </c>
      <c r="K309" s="64">
        <v>3000</v>
      </c>
      <c r="L309" s="61"/>
      <c r="M309" s="65" t="s">
        <v>373</v>
      </c>
      <c r="N309" s="61"/>
      <c r="O309" s="61"/>
      <c r="P309" s="61"/>
      <c r="Q309" s="61"/>
      <c r="R309" s="61">
        <v>544339</v>
      </c>
      <c r="S309" s="66" t="s">
        <v>843</v>
      </c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 s="61" t="s">
        <v>314</v>
      </c>
      <c r="B310" s="62">
        <v>46094</v>
      </c>
      <c r="C310" s="63" t="s">
        <v>2297</v>
      </c>
      <c r="D310" s="67">
        <v>89600</v>
      </c>
      <c r="E310" s="67"/>
      <c r="F310" s="61" t="str">
        <f t="shared" si="4"/>
        <v>借</v>
      </c>
      <c r="G310" s="64">
        <f>SUM(D$6:E310)</f>
        <v>15060146</v>
      </c>
      <c r="H310" s="61"/>
      <c r="I310" s="61" t="s">
        <v>2298</v>
      </c>
      <c r="J310" s="61" t="s">
        <v>114</v>
      </c>
      <c r="K310" s="64">
        <v>89600</v>
      </c>
      <c r="L310" s="61"/>
      <c r="M310" s="65" t="s">
        <v>1096</v>
      </c>
      <c r="N310" s="61"/>
      <c r="O310" s="61"/>
      <c r="P310" s="61"/>
      <c r="Q310" s="61"/>
      <c r="R310" s="61">
        <v>544339</v>
      </c>
      <c r="S310" s="66" t="s">
        <v>843</v>
      </c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 s="61" t="s">
        <v>314</v>
      </c>
      <c r="B311" s="62">
        <v>46094</v>
      </c>
      <c r="C311" s="63" t="s">
        <v>2299</v>
      </c>
      <c r="D311" s="67">
        <v>5000</v>
      </c>
      <c r="E311" s="67"/>
      <c r="F311" s="61" t="str">
        <f t="shared" si="4"/>
        <v>借</v>
      </c>
      <c r="G311" s="64">
        <f>SUM(D$6:E311)</f>
        <v>15065146</v>
      </c>
      <c r="H311" s="61"/>
      <c r="I311" s="61" t="s">
        <v>2300</v>
      </c>
      <c r="J311" s="61" t="s">
        <v>114</v>
      </c>
      <c r="K311" s="64">
        <v>5000</v>
      </c>
      <c r="L311" s="61"/>
      <c r="M311" s="65" t="s">
        <v>1097</v>
      </c>
      <c r="N311" s="61"/>
      <c r="O311" s="61"/>
      <c r="P311" s="61"/>
      <c r="Q311" s="61"/>
      <c r="R311" s="61">
        <v>544339</v>
      </c>
      <c r="S311" s="66" t="s">
        <v>843</v>
      </c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 s="61" t="s">
        <v>314</v>
      </c>
      <c r="B312" s="62">
        <v>46094</v>
      </c>
      <c r="C312" s="63" t="s">
        <v>2301</v>
      </c>
      <c r="D312" s="67">
        <v>64000</v>
      </c>
      <c r="E312" s="67"/>
      <c r="F312" s="61" t="str">
        <f t="shared" si="4"/>
        <v>借</v>
      </c>
      <c r="G312" s="64">
        <f>SUM(D$6:E312)</f>
        <v>15129146</v>
      </c>
      <c r="H312" s="61"/>
      <c r="I312" s="61" t="s">
        <v>2302</v>
      </c>
      <c r="J312" s="61" t="s">
        <v>114</v>
      </c>
      <c r="K312" s="64">
        <v>64000</v>
      </c>
      <c r="L312" s="61"/>
      <c r="M312" s="65" t="s">
        <v>1434</v>
      </c>
      <c r="N312" s="61"/>
      <c r="O312" s="61"/>
      <c r="P312" s="61"/>
      <c r="Q312" s="61"/>
      <c r="R312" s="61">
        <v>544339</v>
      </c>
      <c r="S312" s="66" t="s">
        <v>843</v>
      </c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 s="61" t="s">
        <v>314</v>
      </c>
      <c r="B313" s="62">
        <v>46094</v>
      </c>
      <c r="C313" s="63" t="s">
        <v>2303</v>
      </c>
      <c r="D313" s="67">
        <v>65084</v>
      </c>
      <c r="E313" s="67"/>
      <c r="F313" s="61" t="str">
        <f t="shared" si="4"/>
        <v>借</v>
      </c>
      <c r="G313" s="64">
        <f>SUM(D$6:E313)</f>
        <v>15194230</v>
      </c>
      <c r="H313" s="61"/>
      <c r="I313" s="61" t="s">
        <v>2304</v>
      </c>
      <c r="J313" s="61" t="s">
        <v>114</v>
      </c>
      <c r="K313" s="64">
        <v>65084</v>
      </c>
      <c r="L313" s="61"/>
      <c r="M313" s="65" t="s">
        <v>267</v>
      </c>
      <c r="N313" s="61"/>
      <c r="O313" s="61"/>
      <c r="P313" s="61"/>
      <c r="Q313" s="61"/>
      <c r="R313" s="61">
        <v>544339</v>
      </c>
      <c r="S313" s="66" t="s">
        <v>843</v>
      </c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 s="61" t="s">
        <v>314</v>
      </c>
      <c r="B314" s="62">
        <v>46094</v>
      </c>
      <c r="C314" s="63" t="s">
        <v>2305</v>
      </c>
      <c r="D314" s="67">
        <v>3000</v>
      </c>
      <c r="E314" s="67"/>
      <c r="F314" s="61" t="str">
        <f t="shared" si="4"/>
        <v>借</v>
      </c>
      <c r="G314" s="64">
        <f>SUM(D$6:E314)</f>
        <v>15197230</v>
      </c>
      <c r="H314" s="61"/>
      <c r="I314" s="61" t="s">
        <v>2306</v>
      </c>
      <c r="J314" s="61" t="s">
        <v>114</v>
      </c>
      <c r="K314" s="64">
        <v>3000</v>
      </c>
      <c r="L314" s="61"/>
      <c r="M314" s="65" t="s">
        <v>328</v>
      </c>
      <c r="N314" s="61"/>
      <c r="O314" s="61"/>
      <c r="P314" s="61"/>
      <c r="Q314" s="61"/>
      <c r="R314" s="61">
        <v>544339</v>
      </c>
      <c r="S314" s="66" t="s">
        <v>843</v>
      </c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 s="61" t="s">
        <v>314</v>
      </c>
      <c r="B315" s="62">
        <v>46094</v>
      </c>
      <c r="C315" s="63" t="s">
        <v>2307</v>
      </c>
      <c r="D315" s="67">
        <v>2000</v>
      </c>
      <c r="E315" s="67"/>
      <c r="F315" s="61" t="str">
        <f t="shared" si="4"/>
        <v>借</v>
      </c>
      <c r="G315" s="64">
        <f>SUM(D$6:E315)</f>
        <v>15199230</v>
      </c>
      <c r="H315" s="61"/>
      <c r="I315" s="61" t="s">
        <v>2308</v>
      </c>
      <c r="J315" s="61" t="s">
        <v>114</v>
      </c>
      <c r="K315" s="64">
        <v>2000</v>
      </c>
      <c r="L315" s="61"/>
      <c r="M315" s="65" t="s">
        <v>374</v>
      </c>
      <c r="N315" s="61"/>
      <c r="O315" s="61"/>
      <c r="P315" s="61"/>
      <c r="Q315" s="61"/>
      <c r="R315" s="61">
        <v>544339</v>
      </c>
      <c r="S315" s="66" t="s">
        <v>843</v>
      </c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 s="61" t="s">
        <v>314</v>
      </c>
      <c r="B316" s="62">
        <v>46094</v>
      </c>
      <c r="C316" s="63" t="s">
        <v>2309</v>
      </c>
      <c r="D316" s="67">
        <v>6000</v>
      </c>
      <c r="E316" s="67"/>
      <c r="F316" s="61" t="str">
        <f t="shared" si="4"/>
        <v>借</v>
      </c>
      <c r="G316" s="64">
        <f>SUM(D$6:E316)</f>
        <v>15205230</v>
      </c>
      <c r="H316" s="61"/>
      <c r="I316" s="61" t="s">
        <v>2310</v>
      </c>
      <c r="J316" s="61" t="s">
        <v>114</v>
      </c>
      <c r="K316" s="64">
        <v>6000</v>
      </c>
      <c r="L316" s="61"/>
      <c r="M316" s="65" t="s">
        <v>273</v>
      </c>
      <c r="N316" s="61"/>
      <c r="O316" s="61"/>
      <c r="P316" s="61"/>
      <c r="Q316" s="61"/>
      <c r="R316" s="61">
        <v>544339</v>
      </c>
      <c r="S316" s="66" t="s">
        <v>843</v>
      </c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 s="61" t="s">
        <v>314</v>
      </c>
      <c r="B317" s="62">
        <v>46094</v>
      </c>
      <c r="C317" s="63" t="s">
        <v>2311</v>
      </c>
      <c r="D317" s="67">
        <v>5000</v>
      </c>
      <c r="E317" s="67"/>
      <c r="F317" s="61" t="str">
        <f t="shared" si="4"/>
        <v>借</v>
      </c>
      <c r="G317" s="64">
        <f>SUM(D$6:E317)</f>
        <v>15210230</v>
      </c>
      <c r="H317" s="61"/>
      <c r="I317" s="61" t="s">
        <v>2312</v>
      </c>
      <c r="J317" s="61" t="s">
        <v>114</v>
      </c>
      <c r="K317" s="64">
        <v>5000</v>
      </c>
      <c r="L317" s="61"/>
      <c r="M317" s="65" t="s">
        <v>1473</v>
      </c>
      <c r="N317" s="61"/>
      <c r="O317" s="61"/>
      <c r="P317" s="61"/>
      <c r="Q317" s="61"/>
      <c r="R317" s="61">
        <v>544339</v>
      </c>
      <c r="S317" s="66" t="s">
        <v>843</v>
      </c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 s="61" t="s">
        <v>314</v>
      </c>
      <c r="B318" s="62">
        <v>46094</v>
      </c>
      <c r="C318" s="63" t="s">
        <v>2313</v>
      </c>
      <c r="D318" s="67">
        <v>60000</v>
      </c>
      <c r="E318" s="67"/>
      <c r="F318" s="61" t="str">
        <f t="shared" si="4"/>
        <v>借</v>
      </c>
      <c r="G318" s="64">
        <f>SUM(D$6:E318)</f>
        <v>15270230</v>
      </c>
      <c r="H318" s="61"/>
      <c r="I318" s="61" t="s">
        <v>2314</v>
      </c>
      <c r="J318" s="61" t="s">
        <v>114</v>
      </c>
      <c r="K318" s="64">
        <v>60000</v>
      </c>
      <c r="L318" s="61"/>
      <c r="M318" s="65" t="s">
        <v>1098</v>
      </c>
      <c r="N318" s="61"/>
      <c r="O318" s="61"/>
      <c r="P318" s="61"/>
      <c r="Q318" s="61"/>
      <c r="R318" s="61">
        <v>544339</v>
      </c>
      <c r="S318" s="66" t="s">
        <v>843</v>
      </c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 s="61" t="s">
        <v>314</v>
      </c>
      <c r="B319" s="62">
        <v>46094</v>
      </c>
      <c r="C319" s="63" t="s">
        <v>2315</v>
      </c>
      <c r="D319" s="67">
        <v>30840</v>
      </c>
      <c r="E319" s="67"/>
      <c r="F319" s="61" t="str">
        <f t="shared" si="4"/>
        <v>借</v>
      </c>
      <c r="G319" s="64">
        <f>SUM(D$6:E319)</f>
        <v>15301070</v>
      </c>
      <c r="H319" s="61"/>
      <c r="I319" s="61" t="s">
        <v>2316</v>
      </c>
      <c r="J319" s="61" t="s">
        <v>114</v>
      </c>
      <c r="K319" s="64">
        <v>30840</v>
      </c>
      <c r="L319" s="61"/>
      <c r="M319" s="65" t="s">
        <v>1474</v>
      </c>
      <c r="N319" s="61"/>
      <c r="O319" s="61"/>
      <c r="P319" s="61"/>
      <c r="Q319" s="61"/>
      <c r="R319" s="61">
        <v>544339</v>
      </c>
      <c r="S319" s="66" t="s">
        <v>843</v>
      </c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 s="61" t="s">
        <v>314</v>
      </c>
      <c r="B320" s="62">
        <v>46094</v>
      </c>
      <c r="C320" s="63" t="s">
        <v>2317</v>
      </c>
      <c r="D320" s="67">
        <v>29000</v>
      </c>
      <c r="E320" s="67"/>
      <c r="F320" s="61" t="str">
        <f t="shared" si="4"/>
        <v>借</v>
      </c>
      <c r="G320" s="64">
        <f>SUM(D$6:E320)</f>
        <v>15330070</v>
      </c>
      <c r="H320" s="61"/>
      <c r="I320" s="61" t="s">
        <v>2318</v>
      </c>
      <c r="J320" s="61" t="s">
        <v>114</v>
      </c>
      <c r="K320" s="64">
        <v>29000</v>
      </c>
      <c r="L320" s="61"/>
      <c r="M320" s="65" t="s">
        <v>329</v>
      </c>
      <c r="N320" s="61"/>
      <c r="O320" s="61"/>
      <c r="P320" s="61"/>
      <c r="Q320" s="61"/>
      <c r="R320" s="61">
        <v>544339</v>
      </c>
      <c r="S320" s="66" t="s">
        <v>843</v>
      </c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 s="61" t="s">
        <v>314</v>
      </c>
      <c r="B321" s="62">
        <v>46094</v>
      </c>
      <c r="C321" s="63" t="s">
        <v>2319</v>
      </c>
      <c r="D321" s="67">
        <v>3000</v>
      </c>
      <c r="E321" s="67"/>
      <c r="F321" s="61" t="str">
        <f t="shared" si="4"/>
        <v>借</v>
      </c>
      <c r="G321" s="64">
        <f>SUM(D$6:E321)</f>
        <v>15333070</v>
      </c>
      <c r="H321" s="61"/>
      <c r="I321" s="61" t="s">
        <v>2320</v>
      </c>
      <c r="J321" s="61" t="s">
        <v>114</v>
      </c>
      <c r="K321" s="64">
        <v>3000</v>
      </c>
      <c r="L321" s="61"/>
      <c r="M321" s="65" t="s">
        <v>1688</v>
      </c>
      <c r="N321" s="61"/>
      <c r="O321" s="61"/>
      <c r="P321" s="61"/>
      <c r="Q321" s="61"/>
      <c r="R321" s="61">
        <v>544339</v>
      </c>
      <c r="S321" s="66" t="s">
        <v>843</v>
      </c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 s="61" t="s">
        <v>314</v>
      </c>
      <c r="B322" s="62">
        <v>46094</v>
      </c>
      <c r="C322" s="63" t="s">
        <v>2321</v>
      </c>
      <c r="D322" s="67">
        <v>3000</v>
      </c>
      <c r="E322" s="67"/>
      <c r="F322" s="61" t="str">
        <f t="shared" si="4"/>
        <v>借</v>
      </c>
      <c r="G322" s="64">
        <f>SUM(D$6:E322)</f>
        <v>15336070</v>
      </c>
      <c r="H322" s="61"/>
      <c r="I322" s="61" t="s">
        <v>2322</v>
      </c>
      <c r="J322" s="61" t="s">
        <v>114</v>
      </c>
      <c r="K322" s="64">
        <v>3000</v>
      </c>
      <c r="L322" s="61"/>
      <c r="M322" s="65" t="s">
        <v>1107</v>
      </c>
      <c r="N322" s="61"/>
      <c r="O322" s="61"/>
      <c r="P322" s="61"/>
      <c r="Q322" s="61"/>
      <c r="R322" s="61">
        <v>544339</v>
      </c>
      <c r="S322" s="66" t="s">
        <v>843</v>
      </c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 s="61" t="s">
        <v>314</v>
      </c>
      <c r="B323" s="62">
        <v>46094</v>
      </c>
      <c r="C323" s="63" t="s">
        <v>2323</v>
      </c>
      <c r="D323" s="67">
        <v>9410</v>
      </c>
      <c r="E323" s="67"/>
      <c r="F323" s="61" t="str">
        <f t="shared" si="4"/>
        <v>借</v>
      </c>
      <c r="G323" s="64">
        <f>SUM(D$6:E323)</f>
        <v>15345480</v>
      </c>
      <c r="H323" s="61"/>
      <c r="I323" s="61" t="s">
        <v>2324</v>
      </c>
      <c r="J323" s="61" t="s">
        <v>114</v>
      </c>
      <c r="K323" s="64">
        <v>9410</v>
      </c>
      <c r="L323" s="61"/>
      <c r="M323" s="65" t="s">
        <v>1691</v>
      </c>
      <c r="N323" s="61"/>
      <c r="O323" s="61"/>
      <c r="P323" s="61"/>
      <c r="Q323" s="61"/>
      <c r="R323" s="61">
        <v>544339</v>
      </c>
      <c r="S323" s="66" t="s">
        <v>843</v>
      </c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 s="61" t="s">
        <v>314</v>
      </c>
      <c r="B324" s="62">
        <v>46094</v>
      </c>
      <c r="C324" s="63" t="s">
        <v>2325</v>
      </c>
      <c r="D324" s="67">
        <v>57564</v>
      </c>
      <c r="E324" s="67"/>
      <c r="F324" s="61" t="str">
        <f t="shared" si="4"/>
        <v>借</v>
      </c>
      <c r="G324" s="64">
        <f>SUM(D$6:E324)</f>
        <v>15403044</v>
      </c>
      <c r="H324" s="61"/>
      <c r="I324" s="61" t="s">
        <v>2326</v>
      </c>
      <c r="J324" s="61" t="s">
        <v>114</v>
      </c>
      <c r="K324" s="64">
        <v>57564</v>
      </c>
      <c r="L324" s="61"/>
      <c r="M324" s="65" t="s">
        <v>1099</v>
      </c>
      <c r="N324" s="61"/>
      <c r="O324" s="61"/>
      <c r="P324" s="61"/>
      <c r="Q324" s="61"/>
      <c r="R324" s="61">
        <v>544339</v>
      </c>
      <c r="S324" s="66" t="s">
        <v>843</v>
      </c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 s="61" t="s">
        <v>314</v>
      </c>
      <c r="B325" s="62">
        <v>46094</v>
      </c>
      <c r="C325" s="63" t="s">
        <v>2327</v>
      </c>
      <c r="D325" s="67">
        <v>27200</v>
      </c>
      <c r="E325" s="67"/>
      <c r="F325" s="61" t="str">
        <f t="shared" si="4"/>
        <v>借</v>
      </c>
      <c r="G325" s="64">
        <f>SUM(D$6:E325)</f>
        <v>15430244</v>
      </c>
      <c r="H325" s="61"/>
      <c r="I325" s="61" t="s">
        <v>2328</v>
      </c>
      <c r="J325" s="61" t="s">
        <v>114</v>
      </c>
      <c r="K325" s="64">
        <v>27200</v>
      </c>
      <c r="L325" s="61"/>
      <c r="M325" s="65" t="s">
        <v>375</v>
      </c>
      <c r="N325" s="61"/>
      <c r="O325" s="61"/>
      <c r="P325" s="61"/>
      <c r="Q325" s="61"/>
      <c r="R325" s="61">
        <v>544339</v>
      </c>
      <c r="S325" s="66" t="s">
        <v>843</v>
      </c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 s="61" t="s">
        <v>314</v>
      </c>
      <c r="B326" s="62">
        <v>46094</v>
      </c>
      <c r="C326" s="63" t="s">
        <v>2329</v>
      </c>
      <c r="D326" s="67">
        <v>14000</v>
      </c>
      <c r="E326" s="67"/>
      <c r="F326" s="61" t="str">
        <f t="shared" si="4"/>
        <v>借</v>
      </c>
      <c r="G326" s="64">
        <f>SUM(D$6:E326)</f>
        <v>15444244</v>
      </c>
      <c r="H326" s="61"/>
      <c r="I326" s="61" t="s">
        <v>2330</v>
      </c>
      <c r="J326" s="61" t="s">
        <v>114</v>
      </c>
      <c r="K326" s="64">
        <v>14000</v>
      </c>
      <c r="L326" s="61"/>
      <c r="M326" s="65" t="s">
        <v>1147</v>
      </c>
      <c r="N326" s="61"/>
      <c r="O326" s="61"/>
      <c r="P326" s="61"/>
      <c r="Q326" s="61"/>
      <c r="R326" s="61">
        <v>544339</v>
      </c>
      <c r="S326" s="66" t="s">
        <v>843</v>
      </c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 s="61" t="s">
        <v>314</v>
      </c>
      <c r="B327" s="62">
        <v>46094</v>
      </c>
      <c r="C327" s="63" t="s">
        <v>2331</v>
      </c>
      <c r="D327" s="67">
        <v>12566</v>
      </c>
      <c r="E327" s="67"/>
      <c r="F327" s="61" t="str">
        <f t="shared" ref="F327:F390" si="5">IF(G327&gt;0,"借","貸")</f>
        <v>借</v>
      </c>
      <c r="G327" s="64">
        <f>SUM(D$6:E327)</f>
        <v>15456810</v>
      </c>
      <c r="H327" s="61"/>
      <c r="I327" s="61" t="s">
        <v>2332</v>
      </c>
      <c r="J327" s="61" t="s">
        <v>114</v>
      </c>
      <c r="K327" s="64">
        <v>12566</v>
      </c>
      <c r="L327" s="61"/>
      <c r="M327" s="65" t="s">
        <v>1437</v>
      </c>
      <c r="N327" s="61"/>
      <c r="O327" s="61"/>
      <c r="P327" s="61"/>
      <c r="Q327" s="61"/>
      <c r="R327" s="61">
        <v>544339</v>
      </c>
      <c r="S327" s="66" t="s">
        <v>843</v>
      </c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 s="61" t="s">
        <v>314</v>
      </c>
      <c r="B328" s="62">
        <v>46094</v>
      </c>
      <c r="C328" s="63" t="s">
        <v>2333</v>
      </c>
      <c r="D328" s="67">
        <v>42582</v>
      </c>
      <c r="E328" s="67"/>
      <c r="F328" s="61" t="str">
        <f t="shared" si="5"/>
        <v>借</v>
      </c>
      <c r="G328" s="64">
        <f>SUM(D$6:E328)</f>
        <v>15499392</v>
      </c>
      <c r="H328" s="61"/>
      <c r="I328" s="61" t="s">
        <v>2334</v>
      </c>
      <c r="J328" s="61" t="s">
        <v>114</v>
      </c>
      <c r="K328" s="64">
        <v>42582</v>
      </c>
      <c r="L328" s="61"/>
      <c r="M328" s="65" t="s">
        <v>296</v>
      </c>
      <c r="N328" s="61"/>
      <c r="O328" s="61"/>
      <c r="P328" s="61"/>
      <c r="Q328" s="61"/>
      <c r="R328" s="61">
        <v>544339</v>
      </c>
      <c r="S328" s="66" t="s">
        <v>843</v>
      </c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 s="61" t="s">
        <v>314</v>
      </c>
      <c r="B329" s="62">
        <v>46094</v>
      </c>
      <c r="C329" s="63" t="s">
        <v>2335</v>
      </c>
      <c r="D329" s="67">
        <v>49000</v>
      </c>
      <c r="E329" s="67"/>
      <c r="F329" s="61" t="str">
        <f t="shared" si="5"/>
        <v>借</v>
      </c>
      <c r="G329" s="64">
        <f>SUM(D$6:E329)</f>
        <v>15548392</v>
      </c>
      <c r="H329" s="61"/>
      <c r="I329" s="61" t="s">
        <v>2336</v>
      </c>
      <c r="J329" s="61" t="s">
        <v>114</v>
      </c>
      <c r="K329" s="64">
        <v>49000</v>
      </c>
      <c r="L329" s="61"/>
      <c r="M329" s="65" t="s">
        <v>376</v>
      </c>
      <c r="N329" s="61"/>
      <c r="O329" s="61"/>
      <c r="P329" s="61"/>
      <c r="Q329" s="61"/>
      <c r="R329" s="61">
        <v>544339</v>
      </c>
      <c r="S329" s="66" t="s">
        <v>843</v>
      </c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 s="61" t="s">
        <v>314</v>
      </c>
      <c r="B330" s="62">
        <v>46094</v>
      </c>
      <c r="C330" s="63" t="s">
        <v>2337</v>
      </c>
      <c r="D330" s="67">
        <v>30000</v>
      </c>
      <c r="E330" s="67"/>
      <c r="F330" s="61" t="str">
        <f t="shared" si="5"/>
        <v>借</v>
      </c>
      <c r="G330" s="64">
        <f>SUM(D$6:E330)</f>
        <v>15578392</v>
      </c>
      <c r="H330" s="61"/>
      <c r="I330" s="61" t="s">
        <v>2338</v>
      </c>
      <c r="J330" s="61" t="s">
        <v>114</v>
      </c>
      <c r="K330" s="64">
        <v>30000</v>
      </c>
      <c r="L330" s="61"/>
      <c r="M330" s="65" t="s">
        <v>377</v>
      </c>
      <c r="N330" s="61"/>
      <c r="O330" s="61"/>
      <c r="P330" s="61"/>
      <c r="Q330" s="61"/>
      <c r="R330" s="61">
        <v>544339</v>
      </c>
      <c r="S330" s="66" t="s">
        <v>843</v>
      </c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 s="61" t="s">
        <v>314</v>
      </c>
      <c r="B331" s="62">
        <v>46094</v>
      </c>
      <c r="C331" s="63" t="s">
        <v>2339</v>
      </c>
      <c r="D331" s="67">
        <v>95722</v>
      </c>
      <c r="E331" s="67"/>
      <c r="F331" s="61" t="str">
        <f t="shared" si="5"/>
        <v>借</v>
      </c>
      <c r="G331" s="64">
        <f>SUM(D$6:E331)</f>
        <v>15674114</v>
      </c>
      <c r="H331" s="61"/>
      <c r="I331" s="61" t="s">
        <v>2340</v>
      </c>
      <c r="J331" s="61" t="s">
        <v>114</v>
      </c>
      <c r="K331" s="64">
        <v>95722</v>
      </c>
      <c r="L331" s="61"/>
      <c r="M331" s="65" t="s">
        <v>305</v>
      </c>
      <c r="N331" s="61"/>
      <c r="O331" s="61"/>
      <c r="P331" s="61"/>
      <c r="Q331" s="61"/>
      <c r="R331" s="61">
        <v>544339</v>
      </c>
      <c r="S331" s="66" t="s">
        <v>843</v>
      </c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 s="61" t="s">
        <v>314</v>
      </c>
      <c r="B332" s="62">
        <v>46094</v>
      </c>
      <c r="C332" s="63" t="s">
        <v>2341</v>
      </c>
      <c r="D332" s="67">
        <v>3000</v>
      </c>
      <c r="E332" s="67"/>
      <c r="F332" s="61" t="str">
        <f t="shared" si="5"/>
        <v>借</v>
      </c>
      <c r="G332" s="64">
        <f>SUM(D$6:E332)</f>
        <v>15677114</v>
      </c>
      <c r="H332" s="61"/>
      <c r="I332" s="61" t="s">
        <v>2342</v>
      </c>
      <c r="J332" s="61" t="s">
        <v>114</v>
      </c>
      <c r="K332" s="64">
        <v>3000</v>
      </c>
      <c r="L332" s="61"/>
      <c r="M332" s="65" t="s">
        <v>378</v>
      </c>
      <c r="N332" s="61"/>
      <c r="O332" s="61"/>
      <c r="P332" s="61"/>
      <c r="Q332" s="61"/>
      <c r="R332" s="61">
        <v>544339</v>
      </c>
      <c r="S332" s="66" t="s">
        <v>843</v>
      </c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 s="61" t="s">
        <v>314</v>
      </c>
      <c r="B333" s="62">
        <v>46094</v>
      </c>
      <c r="C333" s="63" t="s">
        <v>2343</v>
      </c>
      <c r="D333" s="67">
        <v>19014</v>
      </c>
      <c r="E333" s="67"/>
      <c r="F333" s="61" t="str">
        <f t="shared" si="5"/>
        <v>借</v>
      </c>
      <c r="G333" s="64">
        <f>SUM(D$6:E333)</f>
        <v>15696128</v>
      </c>
      <c r="H333" s="61"/>
      <c r="I333" s="61" t="s">
        <v>2344</v>
      </c>
      <c r="J333" s="61" t="s">
        <v>114</v>
      </c>
      <c r="K333" s="64">
        <v>19014</v>
      </c>
      <c r="L333" s="61"/>
      <c r="M333" s="65" t="s">
        <v>379</v>
      </c>
      <c r="N333" s="61"/>
      <c r="O333" s="61"/>
      <c r="P333" s="61"/>
      <c r="Q333" s="61"/>
      <c r="R333" s="61">
        <v>544339</v>
      </c>
      <c r="S333" s="66" t="s">
        <v>843</v>
      </c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 s="61" t="s">
        <v>314</v>
      </c>
      <c r="B334" s="62">
        <v>46094</v>
      </c>
      <c r="C334" s="63" t="s">
        <v>2345</v>
      </c>
      <c r="D334" s="67">
        <v>25000</v>
      </c>
      <c r="E334" s="67"/>
      <c r="F334" s="61" t="str">
        <f t="shared" si="5"/>
        <v>借</v>
      </c>
      <c r="G334" s="64">
        <f>SUM(D$6:E334)</f>
        <v>15721128</v>
      </c>
      <c r="H334" s="61"/>
      <c r="I334" s="61" t="s">
        <v>2346</v>
      </c>
      <c r="J334" s="61" t="s">
        <v>114</v>
      </c>
      <c r="K334" s="64">
        <v>25000</v>
      </c>
      <c r="L334" s="61"/>
      <c r="M334" s="65" t="s">
        <v>1700</v>
      </c>
      <c r="N334" s="61"/>
      <c r="O334" s="61"/>
      <c r="P334" s="61"/>
      <c r="Q334" s="61"/>
      <c r="R334" s="61">
        <v>544339</v>
      </c>
      <c r="S334" s="66" t="s">
        <v>843</v>
      </c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 s="61" t="s">
        <v>314</v>
      </c>
      <c r="B335" s="62">
        <v>46094</v>
      </c>
      <c r="C335" s="63" t="s">
        <v>2347</v>
      </c>
      <c r="D335" s="67">
        <v>2000</v>
      </c>
      <c r="E335" s="67"/>
      <c r="F335" s="61" t="str">
        <f t="shared" si="5"/>
        <v>借</v>
      </c>
      <c r="G335" s="64">
        <f>SUM(D$6:E335)</f>
        <v>15723128</v>
      </c>
      <c r="H335" s="61"/>
      <c r="I335" s="61" t="s">
        <v>2348</v>
      </c>
      <c r="J335" s="61" t="s">
        <v>114</v>
      </c>
      <c r="K335" s="64">
        <v>2000</v>
      </c>
      <c r="L335" s="61"/>
      <c r="M335" s="65" t="s">
        <v>1703</v>
      </c>
      <c r="N335" s="61"/>
      <c r="O335" s="61"/>
      <c r="P335" s="61"/>
      <c r="Q335" s="61"/>
      <c r="R335" s="61">
        <v>544339</v>
      </c>
      <c r="S335" s="66" t="s">
        <v>843</v>
      </c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 s="61" t="s">
        <v>314</v>
      </c>
      <c r="B336" s="62">
        <v>46094</v>
      </c>
      <c r="C336" s="63" t="s">
        <v>2349</v>
      </c>
      <c r="D336" s="67">
        <v>48000</v>
      </c>
      <c r="E336" s="67"/>
      <c r="F336" s="61" t="str">
        <f t="shared" si="5"/>
        <v>借</v>
      </c>
      <c r="G336" s="64">
        <f>SUM(D$6:E336)</f>
        <v>15771128</v>
      </c>
      <c r="H336" s="61"/>
      <c r="I336" s="61" t="s">
        <v>2350</v>
      </c>
      <c r="J336" s="61" t="s">
        <v>114</v>
      </c>
      <c r="K336" s="64">
        <v>48000</v>
      </c>
      <c r="L336" s="61"/>
      <c r="M336" s="65" t="s">
        <v>1704</v>
      </c>
      <c r="N336" s="61"/>
      <c r="O336" s="61"/>
      <c r="P336" s="61"/>
      <c r="Q336" s="61"/>
      <c r="R336" s="61">
        <v>544339</v>
      </c>
      <c r="S336" s="66" t="s">
        <v>843</v>
      </c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 s="61" t="s">
        <v>314</v>
      </c>
      <c r="B337" s="62">
        <v>46094</v>
      </c>
      <c r="C337" s="63" t="s">
        <v>2351</v>
      </c>
      <c r="D337" s="67">
        <v>2500</v>
      </c>
      <c r="E337" s="67"/>
      <c r="F337" s="61" t="str">
        <f t="shared" si="5"/>
        <v>借</v>
      </c>
      <c r="G337" s="64">
        <f>SUM(D$6:E337)</f>
        <v>15773628</v>
      </c>
      <c r="H337" s="61"/>
      <c r="I337" s="61" t="s">
        <v>2352</v>
      </c>
      <c r="J337" s="61" t="s">
        <v>114</v>
      </c>
      <c r="K337" s="64">
        <v>2500</v>
      </c>
      <c r="L337" s="61"/>
      <c r="M337" s="65" t="s">
        <v>1705</v>
      </c>
      <c r="N337" s="61"/>
      <c r="O337" s="61"/>
      <c r="P337" s="61"/>
      <c r="Q337" s="61"/>
      <c r="R337" s="61">
        <v>544339</v>
      </c>
      <c r="S337" s="66" t="s">
        <v>843</v>
      </c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 s="61" t="s">
        <v>314</v>
      </c>
      <c r="B338" s="62">
        <v>46094</v>
      </c>
      <c r="C338" s="63" t="s">
        <v>2353</v>
      </c>
      <c r="D338" s="67">
        <v>121608</v>
      </c>
      <c r="E338" s="67"/>
      <c r="F338" s="61" t="str">
        <f t="shared" si="5"/>
        <v>借</v>
      </c>
      <c r="G338" s="64">
        <f>SUM(D$6:E338)</f>
        <v>15895236</v>
      </c>
      <c r="H338" s="61"/>
      <c r="I338" s="61" t="s">
        <v>2354</v>
      </c>
      <c r="J338" s="61" t="s">
        <v>114</v>
      </c>
      <c r="K338" s="64">
        <v>121608</v>
      </c>
      <c r="L338" s="61"/>
      <c r="M338" s="65" t="s">
        <v>1706</v>
      </c>
      <c r="N338" s="61"/>
      <c r="O338" s="61"/>
      <c r="P338" s="61"/>
      <c r="Q338" s="61"/>
      <c r="R338" s="61">
        <v>544339</v>
      </c>
      <c r="S338" s="66" t="s">
        <v>843</v>
      </c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 s="61" t="s">
        <v>314</v>
      </c>
      <c r="B339" s="62">
        <v>46094</v>
      </c>
      <c r="C339" s="63" t="s">
        <v>2355</v>
      </c>
      <c r="D339" s="67">
        <v>3000</v>
      </c>
      <c r="E339" s="67"/>
      <c r="F339" s="61" t="str">
        <f t="shared" si="5"/>
        <v>借</v>
      </c>
      <c r="G339" s="64">
        <f>SUM(D$6:E339)</f>
        <v>15898236</v>
      </c>
      <c r="H339" s="61"/>
      <c r="I339" s="61" t="s">
        <v>2356</v>
      </c>
      <c r="J339" s="61" t="s">
        <v>114</v>
      </c>
      <c r="K339" s="64">
        <v>3000</v>
      </c>
      <c r="L339" s="61"/>
      <c r="M339" s="65" t="s">
        <v>380</v>
      </c>
      <c r="N339" s="61"/>
      <c r="O339" s="61"/>
      <c r="P339" s="61"/>
      <c r="Q339" s="61"/>
      <c r="R339" s="61">
        <v>544339</v>
      </c>
      <c r="S339" s="66" t="s">
        <v>843</v>
      </c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 s="61" t="s">
        <v>314</v>
      </c>
      <c r="B340" s="62">
        <v>46094</v>
      </c>
      <c r="C340" s="63" t="s">
        <v>2357</v>
      </c>
      <c r="D340" s="67">
        <v>2000</v>
      </c>
      <c r="E340" s="67"/>
      <c r="F340" s="61" t="str">
        <f t="shared" si="5"/>
        <v>借</v>
      </c>
      <c r="G340" s="64">
        <f>SUM(D$6:E340)</f>
        <v>15900236</v>
      </c>
      <c r="H340" s="61"/>
      <c r="I340" s="61" t="s">
        <v>2358</v>
      </c>
      <c r="J340" s="61" t="s">
        <v>114</v>
      </c>
      <c r="K340" s="64">
        <v>2000</v>
      </c>
      <c r="L340" s="61"/>
      <c r="M340" s="65" t="s">
        <v>1707</v>
      </c>
      <c r="N340" s="61"/>
      <c r="O340" s="61"/>
      <c r="P340" s="61"/>
      <c r="Q340" s="61"/>
      <c r="R340" s="61">
        <v>544339</v>
      </c>
      <c r="S340" s="66" t="s">
        <v>843</v>
      </c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 s="61" t="s">
        <v>314</v>
      </c>
      <c r="B341" s="62">
        <v>46094</v>
      </c>
      <c r="C341" s="63" t="s">
        <v>2359</v>
      </c>
      <c r="D341" s="67">
        <v>4500</v>
      </c>
      <c r="E341" s="67"/>
      <c r="F341" s="61" t="str">
        <f t="shared" si="5"/>
        <v>借</v>
      </c>
      <c r="G341" s="64">
        <f>SUM(D$6:E341)</f>
        <v>15904736</v>
      </c>
      <c r="H341" s="61"/>
      <c r="I341" s="61" t="s">
        <v>2360</v>
      </c>
      <c r="J341" s="61" t="s">
        <v>114</v>
      </c>
      <c r="K341" s="64">
        <v>4500</v>
      </c>
      <c r="L341" s="61"/>
      <c r="M341" s="65" t="s">
        <v>393</v>
      </c>
      <c r="N341" s="61"/>
      <c r="O341" s="61"/>
      <c r="P341" s="61"/>
      <c r="Q341" s="61"/>
      <c r="R341" s="61">
        <v>544339</v>
      </c>
      <c r="S341" s="66" t="s">
        <v>843</v>
      </c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 s="61" t="s">
        <v>314</v>
      </c>
      <c r="B342" s="62">
        <v>46094</v>
      </c>
      <c r="C342" s="63" t="s">
        <v>2361</v>
      </c>
      <c r="D342" s="67">
        <v>3000</v>
      </c>
      <c r="E342" s="67"/>
      <c r="F342" s="61" t="str">
        <f t="shared" si="5"/>
        <v>借</v>
      </c>
      <c r="G342" s="64">
        <f>SUM(D$6:E342)</f>
        <v>15907736</v>
      </c>
      <c r="H342" s="61"/>
      <c r="I342" s="61" t="s">
        <v>2362</v>
      </c>
      <c r="J342" s="61" t="s">
        <v>114</v>
      </c>
      <c r="K342" s="64">
        <v>3000</v>
      </c>
      <c r="L342" s="61"/>
      <c r="M342" s="65" t="s">
        <v>381</v>
      </c>
      <c r="N342" s="61"/>
      <c r="O342" s="61"/>
      <c r="P342" s="61"/>
      <c r="Q342" s="61"/>
      <c r="R342" s="61">
        <v>544339</v>
      </c>
      <c r="S342" s="66" t="s">
        <v>843</v>
      </c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 s="61" t="s">
        <v>314</v>
      </c>
      <c r="B343" s="62">
        <v>46094</v>
      </c>
      <c r="C343" s="63" t="s">
        <v>2363</v>
      </c>
      <c r="D343" s="67">
        <v>3000</v>
      </c>
      <c r="E343" s="67"/>
      <c r="F343" s="61" t="str">
        <f t="shared" si="5"/>
        <v>借</v>
      </c>
      <c r="G343" s="64">
        <f>SUM(D$6:E343)</f>
        <v>15910736</v>
      </c>
      <c r="H343" s="61"/>
      <c r="I343" s="61" t="s">
        <v>2364</v>
      </c>
      <c r="J343" s="61" t="s">
        <v>114</v>
      </c>
      <c r="K343" s="64">
        <v>3000</v>
      </c>
      <c r="L343" s="61"/>
      <c r="M343" s="65" t="s">
        <v>382</v>
      </c>
      <c r="N343" s="61"/>
      <c r="O343" s="61"/>
      <c r="P343" s="61"/>
      <c r="Q343" s="61"/>
      <c r="R343" s="61">
        <v>544339</v>
      </c>
      <c r="S343" s="66" t="s">
        <v>843</v>
      </c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 s="61" t="s">
        <v>314</v>
      </c>
      <c r="B344" s="62">
        <v>46094</v>
      </c>
      <c r="C344" s="63" t="s">
        <v>2365</v>
      </c>
      <c r="D344" s="67">
        <v>61012</v>
      </c>
      <c r="E344" s="67"/>
      <c r="F344" s="61" t="str">
        <f t="shared" si="5"/>
        <v>借</v>
      </c>
      <c r="G344" s="64">
        <f>SUM(D$6:E344)</f>
        <v>15971748</v>
      </c>
      <c r="H344" s="61"/>
      <c r="I344" s="61" t="s">
        <v>2366</v>
      </c>
      <c r="J344" s="61" t="s">
        <v>114</v>
      </c>
      <c r="K344" s="64">
        <v>61012</v>
      </c>
      <c r="L344" s="61"/>
      <c r="M344" s="65" t="s">
        <v>1100</v>
      </c>
      <c r="N344" s="61"/>
      <c r="O344" s="61"/>
      <c r="P344" s="61"/>
      <c r="Q344" s="61"/>
      <c r="R344" s="61">
        <v>544339</v>
      </c>
      <c r="S344" s="66" t="s">
        <v>843</v>
      </c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 s="61" t="s">
        <v>314</v>
      </c>
      <c r="B345" s="62">
        <v>46094</v>
      </c>
      <c r="C345" s="63" t="s">
        <v>2367</v>
      </c>
      <c r="D345" s="67">
        <v>12000</v>
      </c>
      <c r="E345" s="67"/>
      <c r="F345" s="61" t="str">
        <f t="shared" si="5"/>
        <v>借</v>
      </c>
      <c r="G345" s="64">
        <f>SUM(D$6:E345)</f>
        <v>15983748</v>
      </c>
      <c r="H345" s="61"/>
      <c r="I345" s="61" t="s">
        <v>2368</v>
      </c>
      <c r="J345" s="61" t="s">
        <v>114</v>
      </c>
      <c r="K345" s="64">
        <v>12000</v>
      </c>
      <c r="L345" s="61"/>
      <c r="M345" s="65" t="s">
        <v>383</v>
      </c>
      <c r="N345" s="61"/>
      <c r="O345" s="61"/>
      <c r="P345" s="61"/>
      <c r="Q345" s="61"/>
      <c r="R345" s="61">
        <v>544339</v>
      </c>
      <c r="S345" s="66" t="s">
        <v>843</v>
      </c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 s="61" t="s">
        <v>314</v>
      </c>
      <c r="B346" s="62">
        <v>46094</v>
      </c>
      <c r="C346" s="63" t="s">
        <v>2369</v>
      </c>
      <c r="D346" s="67">
        <v>63675</v>
      </c>
      <c r="E346" s="67"/>
      <c r="F346" s="61" t="str">
        <f t="shared" si="5"/>
        <v>借</v>
      </c>
      <c r="G346" s="64">
        <f>SUM(D$6:E346)</f>
        <v>16047423</v>
      </c>
      <c r="H346" s="61"/>
      <c r="I346" s="61" t="s">
        <v>2370</v>
      </c>
      <c r="J346" s="61" t="s">
        <v>114</v>
      </c>
      <c r="K346" s="64">
        <v>63675</v>
      </c>
      <c r="L346" s="61"/>
      <c r="M346" s="65" t="s">
        <v>1714</v>
      </c>
      <c r="N346" s="61"/>
      <c r="O346" s="61"/>
      <c r="P346" s="61"/>
      <c r="Q346" s="61"/>
      <c r="R346" s="61">
        <v>544339</v>
      </c>
      <c r="S346" s="66" t="s">
        <v>843</v>
      </c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 s="61" t="s">
        <v>314</v>
      </c>
      <c r="B347" s="62">
        <v>46094</v>
      </c>
      <c r="C347" s="63" t="s">
        <v>2371</v>
      </c>
      <c r="D347" s="67">
        <v>5000</v>
      </c>
      <c r="E347" s="67"/>
      <c r="F347" s="61" t="str">
        <f t="shared" si="5"/>
        <v>借</v>
      </c>
      <c r="G347" s="64">
        <f>SUM(D$6:E347)</f>
        <v>16052423</v>
      </c>
      <c r="H347" s="61"/>
      <c r="I347" s="61" t="s">
        <v>2372</v>
      </c>
      <c r="J347" s="61" t="s">
        <v>114</v>
      </c>
      <c r="K347" s="64">
        <v>5000</v>
      </c>
      <c r="L347" s="61"/>
      <c r="M347" s="65" t="s">
        <v>384</v>
      </c>
      <c r="N347" s="61"/>
      <c r="O347" s="61"/>
      <c r="P347" s="61"/>
      <c r="Q347" s="61"/>
      <c r="R347" s="61">
        <v>544339</v>
      </c>
      <c r="S347" s="66" t="s">
        <v>843</v>
      </c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 s="61" t="s">
        <v>314</v>
      </c>
      <c r="B348" s="62">
        <v>46094</v>
      </c>
      <c r="C348" s="63" t="s">
        <v>2373</v>
      </c>
      <c r="D348" s="67">
        <v>3000</v>
      </c>
      <c r="E348" s="67"/>
      <c r="F348" s="61" t="str">
        <f t="shared" si="5"/>
        <v>借</v>
      </c>
      <c r="G348" s="64">
        <f>SUM(D$6:E348)</f>
        <v>16055423</v>
      </c>
      <c r="H348" s="61"/>
      <c r="I348" s="61" t="s">
        <v>2374</v>
      </c>
      <c r="J348" s="61" t="s">
        <v>114</v>
      </c>
      <c r="K348" s="64">
        <v>3000</v>
      </c>
      <c r="L348" s="61"/>
      <c r="M348" s="65" t="s">
        <v>1717</v>
      </c>
      <c r="N348" s="61"/>
      <c r="O348" s="61"/>
      <c r="P348" s="61"/>
      <c r="Q348" s="61"/>
      <c r="R348" s="61">
        <v>544339</v>
      </c>
      <c r="S348" s="66" t="s">
        <v>843</v>
      </c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 s="61" t="s">
        <v>314</v>
      </c>
      <c r="B349" s="62">
        <v>46094</v>
      </c>
      <c r="C349" s="63" t="s">
        <v>2375</v>
      </c>
      <c r="D349" s="67">
        <v>39004</v>
      </c>
      <c r="E349" s="67"/>
      <c r="F349" s="61" t="str">
        <f t="shared" si="5"/>
        <v>借</v>
      </c>
      <c r="G349" s="64">
        <f>SUM(D$6:E349)</f>
        <v>16094427</v>
      </c>
      <c r="H349" s="61"/>
      <c r="I349" s="61" t="s">
        <v>2376</v>
      </c>
      <c r="J349" s="61" t="s">
        <v>114</v>
      </c>
      <c r="K349" s="64">
        <v>39004</v>
      </c>
      <c r="L349" s="61"/>
      <c r="M349" s="65" t="s">
        <v>1440</v>
      </c>
      <c r="N349" s="61"/>
      <c r="O349" s="61"/>
      <c r="P349" s="61"/>
      <c r="Q349" s="61"/>
      <c r="R349" s="61">
        <v>544339</v>
      </c>
      <c r="S349" s="66" t="s">
        <v>843</v>
      </c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 s="61" t="s">
        <v>314</v>
      </c>
      <c r="B350" s="62">
        <v>46094</v>
      </c>
      <c r="C350" s="63" t="s">
        <v>2377</v>
      </c>
      <c r="D350" s="67">
        <v>21600</v>
      </c>
      <c r="E350" s="67"/>
      <c r="F350" s="61" t="str">
        <f t="shared" si="5"/>
        <v>借</v>
      </c>
      <c r="G350" s="64">
        <f>SUM(D$6:E350)</f>
        <v>16116027</v>
      </c>
      <c r="H350" s="61"/>
      <c r="I350" s="61" t="s">
        <v>2378</v>
      </c>
      <c r="J350" s="61" t="s">
        <v>114</v>
      </c>
      <c r="K350" s="64">
        <v>21600</v>
      </c>
      <c r="L350" s="61"/>
      <c r="M350" s="65" t="s">
        <v>320</v>
      </c>
      <c r="N350" s="61"/>
      <c r="O350" s="61"/>
      <c r="P350" s="61"/>
      <c r="Q350" s="61"/>
      <c r="R350" s="61">
        <v>544339</v>
      </c>
      <c r="S350" s="66" t="s">
        <v>843</v>
      </c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 s="61" t="s">
        <v>314</v>
      </c>
      <c r="B351" s="62">
        <v>46094</v>
      </c>
      <c r="C351" s="63" t="s">
        <v>2379</v>
      </c>
      <c r="D351" s="67">
        <v>3000</v>
      </c>
      <c r="E351" s="67"/>
      <c r="F351" s="61" t="str">
        <f t="shared" si="5"/>
        <v>借</v>
      </c>
      <c r="G351" s="64">
        <f>SUM(D$6:E351)</f>
        <v>16119027</v>
      </c>
      <c r="H351" s="61"/>
      <c r="I351" s="61" t="s">
        <v>2380</v>
      </c>
      <c r="J351" s="61" t="s">
        <v>114</v>
      </c>
      <c r="K351" s="64">
        <v>3000</v>
      </c>
      <c r="L351" s="61"/>
      <c r="M351" s="65" t="s">
        <v>330</v>
      </c>
      <c r="N351" s="61"/>
      <c r="O351" s="61"/>
      <c r="P351" s="61"/>
      <c r="Q351" s="61"/>
      <c r="R351" s="61">
        <v>544339</v>
      </c>
      <c r="S351" s="66" t="s">
        <v>843</v>
      </c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 s="61" t="s">
        <v>314</v>
      </c>
      <c r="B352" s="62">
        <v>46097</v>
      </c>
      <c r="C352" s="63" t="s">
        <v>2381</v>
      </c>
      <c r="D352" s="67">
        <v>8747</v>
      </c>
      <c r="E352" s="67"/>
      <c r="F352" s="61" t="str">
        <f t="shared" si="5"/>
        <v>借</v>
      </c>
      <c r="G352" s="64">
        <f>SUM(D$6:E352)</f>
        <v>16127774</v>
      </c>
      <c r="H352" s="61"/>
      <c r="I352" s="61" t="s">
        <v>2382</v>
      </c>
      <c r="J352" s="61" t="s">
        <v>317</v>
      </c>
      <c r="K352" s="64">
        <v>1879.23</v>
      </c>
      <c r="L352" s="61"/>
      <c r="M352" s="65" t="s">
        <v>224</v>
      </c>
      <c r="N352" s="61"/>
      <c r="O352" s="61"/>
      <c r="P352" s="61"/>
      <c r="Q352" s="61"/>
      <c r="R352" s="61">
        <v>542935</v>
      </c>
      <c r="S352" s="66" t="s">
        <v>237</v>
      </c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 s="61" t="s">
        <v>314</v>
      </c>
      <c r="B353" s="62">
        <v>46097</v>
      </c>
      <c r="C353" s="63" t="s">
        <v>2383</v>
      </c>
      <c r="D353" s="67">
        <v>77741</v>
      </c>
      <c r="E353" s="67"/>
      <c r="F353" s="61" t="str">
        <f t="shared" si="5"/>
        <v>借</v>
      </c>
      <c r="G353" s="64">
        <f>SUM(D$6:E353)</f>
        <v>16205515</v>
      </c>
      <c r="H353" s="61"/>
      <c r="I353" s="61" t="s">
        <v>2384</v>
      </c>
      <c r="J353" s="61" t="s">
        <v>337</v>
      </c>
      <c r="K353" s="64">
        <v>2096.54</v>
      </c>
      <c r="L353" s="61"/>
      <c r="M353" s="65" t="s">
        <v>224</v>
      </c>
      <c r="N353" s="61"/>
      <c r="O353" s="61"/>
      <c r="P353" s="61"/>
      <c r="Q353" s="61"/>
      <c r="R353" s="61">
        <v>542905</v>
      </c>
      <c r="S353" s="66" t="s">
        <v>237</v>
      </c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 s="61" t="s">
        <v>314</v>
      </c>
      <c r="B354" s="62">
        <v>46097</v>
      </c>
      <c r="C354" s="63" t="s">
        <v>2385</v>
      </c>
      <c r="D354" s="67">
        <v>147531</v>
      </c>
      <c r="E354" s="67"/>
      <c r="F354" s="61" t="str">
        <f t="shared" si="5"/>
        <v>借</v>
      </c>
      <c r="G354" s="64">
        <f>SUM(D$6:E354)</f>
        <v>16353046</v>
      </c>
      <c r="H354" s="61"/>
      <c r="I354" s="61" t="s">
        <v>2386</v>
      </c>
      <c r="J354" s="61" t="s">
        <v>338</v>
      </c>
      <c r="K354" s="64">
        <v>6798666</v>
      </c>
      <c r="L354" s="61"/>
      <c r="M354" s="65" t="s">
        <v>224</v>
      </c>
      <c r="N354" s="61"/>
      <c r="O354" s="61"/>
      <c r="P354" s="61"/>
      <c r="Q354" s="61"/>
      <c r="R354" s="61">
        <v>542905</v>
      </c>
      <c r="S354" s="66" t="s">
        <v>237</v>
      </c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 s="61" t="s">
        <v>314</v>
      </c>
      <c r="B355" s="62">
        <v>46097</v>
      </c>
      <c r="C355" s="63" t="s">
        <v>2387</v>
      </c>
      <c r="D355" s="67">
        <v>269400</v>
      </c>
      <c r="E355" s="67"/>
      <c r="F355" s="61" t="str">
        <f t="shared" si="5"/>
        <v>借</v>
      </c>
      <c r="G355" s="64">
        <f>SUM(D$6:E355)</f>
        <v>16622446</v>
      </c>
      <c r="H355" s="61" t="s">
        <v>1132</v>
      </c>
      <c r="I355" s="61" t="s">
        <v>2388</v>
      </c>
      <c r="J355" s="61" t="s">
        <v>114</v>
      </c>
      <c r="K355" s="64">
        <v>269400</v>
      </c>
      <c r="L355" s="61"/>
      <c r="M355" s="65" t="s">
        <v>2389</v>
      </c>
      <c r="N355" s="61"/>
      <c r="O355" s="61"/>
      <c r="P355" s="61"/>
      <c r="Q355" s="61"/>
      <c r="R355" s="61">
        <v>543333</v>
      </c>
      <c r="S355" s="66" t="s">
        <v>843</v>
      </c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 s="61" t="s">
        <v>314</v>
      </c>
      <c r="B356" s="62">
        <v>46097</v>
      </c>
      <c r="C356" s="63" t="s">
        <v>2390</v>
      </c>
      <c r="D356" s="67">
        <v>48000</v>
      </c>
      <c r="E356" s="67"/>
      <c r="F356" s="61" t="str">
        <f t="shared" si="5"/>
        <v>借</v>
      </c>
      <c r="G356" s="64">
        <f>SUM(D$6:E356)</f>
        <v>16670446</v>
      </c>
      <c r="H356" s="61" t="s">
        <v>332</v>
      </c>
      <c r="I356" s="61" t="s">
        <v>2391</v>
      </c>
      <c r="J356" s="61" t="s">
        <v>114</v>
      </c>
      <c r="K356" s="64">
        <v>48000</v>
      </c>
      <c r="L356" s="61"/>
      <c r="M356" s="65" t="s">
        <v>2392</v>
      </c>
      <c r="N356" s="61"/>
      <c r="O356" s="61"/>
      <c r="P356" s="61"/>
      <c r="Q356" s="61"/>
      <c r="R356" s="61">
        <v>543334</v>
      </c>
      <c r="S356" s="66" t="s">
        <v>843</v>
      </c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 s="61" t="s">
        <v>314</v>
      </c>
      <c r="B357" s="62">
        <v>46097</v>
      </c>
      <c r="C357" s="63" t="s">
        <v>2393</v>
      </c>
      <c r="D357" s="67">
        <v>4771600</v>
      </c>
      <c r="E357" s="67"/>
      <c r="F357" s="61" t="str">
        <f t="shared" si="5"/>
        <v>借</v>
      </c>
      <c r="G357" s="64">
        <f>SUM(D$6:E357)</f>
        <v>21442046</v>
      </c>
      <c r="H357" s="61" t="s">
        <v>336</v>
      </c>
      <c r="I357" s="61" t="s">
        <v>2394</v>
      </c>
      <c r="J357" s="61" t="s">
        <v>114</v>
      </c>
      <c r="K357" s="64">
        <v>4771600</v>
      </c>
      <c r="L357" s="61"/>
      <c r="M357" s="65" t="s">
        <v>2395</v>
      </c>
      <c r="N357" s="61"/>
      <c r="O357" s="61"/>
      <c r="P357" s="61"/>
      <c r="Q357" s="61"/>
      <c r="R357" s="61">
        <v>543335</v>
      </c>
      <c r="S357" s="66" t="s">
        <v>843</v>
      </c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 s="61" t="s">
        <v>314</v>
      </c>
      <c r="B358" s="62">
        <v>46098</v>
      </c>
      <c r="C358" s="63" t="s">
        <v>2396</v>
      </c>
      <c r="D358" s="67">
        <v>247849</v>
      </c>
      <c r="E358" s="67"/>
      <c r="F358" s="61" t="str">
        <f t="shared" si="5"/>
        <v>借</v>
      </c>
      <c r="G358" s="64">
        <f>SUM(D$6:E358)</f>
        <v>21689895</v>
      </c>
      <c r="H358" s="61"/>
      <c r="I358" s="61" t="s">
        <v>2397</v>
      </c>
      <c r="J358" s="61" t="s">
        <v>338</v>
      </c>
      <c r="K358" s="64">
        <v>11581733</v>
      </c>
      <c r="L358" s="61"/>
      <c r="M358" s="65" t="s">
        <v>224</v>
      </c>
      <c r="N358" s="61"/>
      <c r="O358" s="61"/>
      <c r="P358" s="61"/>
      <c r="Q358" s="61"/>
      <c r="R358" s="61">
        <v>544208</v>
      </c>
      <c r="S358" s="66" t="s">
        <v>237</v>
      </c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 s="61" t="s">
        <v>314</v>
      </c>
      <c r="B359" s="62">
        <v>46099</v>
      </c>
      <c r="C359" s="63" t="s">
        <v>2398</v>
      </c>
      <c r="D359" s="67">
        <v>11501</v>
      </c>
      <c r="E359" s="67"/>
      <c r="F359" s="61" t="str">
        <f t="shared" si="5"/>
        <v>借</v>
      </c>
      <c r="G359" s="64">
        <f>SUM(D$6:E359)</f>
        <v>21701396</v>
      </c>
      <c r="H359" s="61"/>
      <c r="I359" s="61" t="s">
        <v>2399</v>
      </c>
      <c r="J359" s="61" t="s">
        <v>338</v>
      </c>
      <c r="K359" s="64">
        <v>534926</v>
      </c>
      <c r="L359" s="61"/>
      <c r="M359" s="65" t="s">
        <v>224</v>
      </c>
      <c r="N359" s="61"/>
      <c r="O359" s="61"/>
      <c r="P359" s="61"/>
      <c r="Q359" s="61"/>
      <c r="R359" s="61">
        <v>544227</v>
      </c>
      <c r="S359" s="66" t="s">
        <v>237</v>
      </c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 s="61" t="s">
        <v>314</v>
      </c>
      <c r="B360" s="62">
        <v>46099</v>
      </c>
      <c r="C360" s="63" t="s">
        <v>2400</v>
      </c>
      <c r="D360" s="67">
        <v>88800</v>
      </c>
      <c r="E360" s="67"/>
      <c r="F360" s="61" t="str">
        <f t="shared" si="5"/>
        <v>借</v>
      </c>
      <c r="G360" s="64">
        <f>SUM(D$6:E360)</f>
        <v>21790196</v>
      </c>
      <c r="H360" s="61" t="s">
        <v>335</v>
      </c>
      <c r="I360" s="61" t="s">
        <v>2401</v>
      </c>
      <c r="J360" s="61" t="s">
        <v>114</v>
      </c>
      <c r="K360" s="64">
        <v>88800</v>
      </c>
      <c r="L360" s="61"/>
      <c r="M360" s="65" t="s">
        <v>2402</v>
      </c>
      <c r="N360" s="61"/>
      <c r="O360" s="61"/>
      <c r="P360" s="61"/>
      <c r="Q360" s="61"/>
      <c r="R360" s="61">
        <v>544466</v>
      </c>
      <c r="S360" s="66" t="s">
        <v>843</v>
      </c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 s="61" t="s">
        <v>314</v>
      </c>
      <c r="B361" s="62">
        <v>46099</v>
      </c>
      <c r="C361" s="63" t="s">
        <v>2403</v>
      </c>
      <c r="D361" s="67">
        <v>40000</v>
      </c>
      <c r="E361" s="67"/>
      <c r="F361" s="61" t="str">
        <f t="shared" si="5"/>
        <v>借</v>
      </c>
      <c r="G361" s="64">
        <f>SUM(D$6:E361)</f>
        <v>21830196</v>
      </c>
      <c r="H361" s="61" t="s">
        <v>1132</v>
      </c>
      <c r="I361" s="61" t="s">
        <v>2404</v>
      </c>
      <c r="J361" s="61" t="s">
        <v>114</v>
      </c>
      <c r="K361" s="64">
        <v>40000</v>
      </c>
      <c r="L361" s="61"/>
      <c r="M361" s="65" t="s">
        <v>2405</v>
      </c>
      <c r="N361" s="61"/>
      <c r="O361" s="61"/>
      <c r="P361" s="61"/>
      <c r="Q361" s="61"/>
      <c r="R361" s="61">
        <v>544467</v>
      </c>
      <c r="S361" s="66" t="s">
        <v>843</v>
      </c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 s="61" t="s">
        <v>314</v>
      </c>
      <c r="B362" s="62">
        <v>46100</v>
      </c>
      <c r="C362" s="63" t="s">
        <v>2406</v>
      </c>
      <c r="D362" s="67">
        <v>1136</v>
      </c>
      <c r="E362" s="67"/>
      <c r="F362" s="61" t="str">
        <f t="shared" si="5"/>
        <v>借</v>
      </c>
      <c r="G362" s="64">
        <f>SUM(D$6:E362)</f>
        <v>21831332</v>
      </c>
      <c r="H362" s="61"/>
      <c r="I362" s="61" t="s">
        <v>2407</v>
      </c>
      <c r="J362" s="61" t="s">
        <v>337</v>
      </c>
      <c r="K362" s="64">
        <v>30.75</v>
      </c>
      <c r="L362" s="61"/>
      <c r="M362" s="65" t="s">
        <v>224</v>
      </c>
      <c r="N362" s="61"/>
      <c r="O362" s="61"/>
      <c r="P362" s="61"/>
      <c r="Q362" s="61"/>
      <c r="R362" s="61">
        <v>544295</v>
      </c>
      <c r="S362" s="66" t="s">
        <v>237</v>
      </c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1:44">
      <c r="A363" s="61" t="s">
        <v>314</v>
      </c>
      <c r="B363" s="62">
        <v>46100</v>
      </c>
      <c r="C363" s="63" t="s">
        <v>2408</v>
      </c>
      <c r="D363" s="67">
        <v>1007</v>
      </c>
      <c r="E363" s="67"/>
      <c r="F363" s="61" t="str">
        <f t="shared" si="5"/>
        <v>借</v>
      </c>
      <c r="G363" s="64">
        <f>SUM(D$6:E363)</f>
        <v>21832339</v>
      </c>
      <c r="H363" s="61"/>
      <c r="I363" s="61" t="s">
        <v>2409</v>
      </c>
      <c r="J363" s="61" t="s">
        <v>337</v>
      </c>
      <c r="K363" s="64">
        <v>27.27</v>
      </c>
      <c r="L363" s="61"/>
      <c r="M363" s="65" t="s">
        <v>224</v>
      </c>
      <c r="N363" s="61"/>
      <c r="O363" s="61"/>
      <c r="P363" s="61"/>
      <c r="Q363" s="61"/>
      <c r="R363" s="61">
        <v>544295</v>
      </c>
      <c r="S363" s="66" t="s">
        <v>237</v>
      </c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</row>
    <row r="364" spans="1:44">
      <c r="A364" s="61" t="s">
        <v>314</v>
      </c>
      <c r="B364" s="62">
        <v>46100</v>
      </c>
      <c r="C364" s="63" t="s">
        <v>2410</v>
      </c>
      <c r="D364" s="67">
        <v>124990</v>
      </c>
      <c r="E364" s="67"/>
      <c r="F364" s="61" t="str">
        <f t="shared" si="5"/>
        <v>借</v>
      </c>
      <c r="G364" s="64">
        <f>SUM(D$6:E364)</f>
        <v>21957329</v>
      </c>
      <c r="H364" s="61"/>
      <c r="I364" s="61" t="s">
        <v>2411</v>
      </c>
      <c r="J364" s="61" t="s">
        <v>338</v>
      </c>
      <c r="K364" s="64">
        <v>5813479</v>
      </c>
      <c r="L364" s="61"/>
      <c r="M364" s="65" t="s">
        <v>224</v>
      </c>
      <c r="N364" s="61"/>
      <c r="O364" s="61"/>
      <c r="P364" s="61"/>
      <c r="Q364" s="61"/>
      <c r="R364" s="61">
        <v>544295</v>
      </c>
      <c r="S364" s="66" t="s">
        <v>237</v>
      </c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</row>
    <row r="365" spans="1:44">
      <c r="A365" s="61" t="s">
        <v>314</v>
      </c>
      <c r="B365" s="62">
        <v>46100</v>
      </c>
      <c r="C365" s="63" t="s">
        <v>2412</v>
      </c>
      <c r="D365" s="67">
        <v>40000</v>
      </c>
      <c r="E365" s="67"/>
      <c r="F365" s="61" t="str">
        <f t="shared" si="5"/>
        <v>借</v>
      </c>
      <c r="G365" s="64">
        <f>SUM(D$6:E365)</f>
        <v>21997329</v>
      </c>
      <c r="H365" s="61" t="s">
        <v>335</v>
      </c>
      <c r="I365" s="61" t="s">
        <v>2413</v>
      </c>
      <c r="J365" s="61" t="s">
        <v>114</v>
      </c>
      <c r="K365" s="64">
        <v>40000</v>
      </c>
      <c r="L365" s="61"/>
      <c r="M365" s="65" t="s">
        <v>2414</v>
      </c>
      <c r="N365" s="61"/>
      <c r="O365" s="61"/>
      <c r="P365" s="61"/>
      <c r="Q365" s="61"/>
      <c r="R365" s="61">
        <v>545204</v>
      </c>
      <c r="S365" s="66" t="s">
        <v>843</v>
      </c>
    </row>
    <row r="366" spans="1:44">
      <c r="A366" s="61" t="s">
        <v>314</v>
      </c>
      <c r="B366" s="62">
        <v>46101</v>
      </c>
      <c r="C366" s="63" t="s">
        <v>2415</v>
      </c>
      <c r="D366" s="67">
        <v>19836</v>
      </c>
      <c r="E366" s="67"/>
      <c r="F366" s="61" t="str">
        <f t="shared" si="5"/>
        <v>借</v>
      </c>
      <c r="G366" s="64">
        <f>SUM(D$6:E366)</f>
        <v>22017165</v>
      </c>
      <c r="H366" s="61"/>
      <c r="I366" s="61" t="s">
        <v>2416</v>
      </c>
      <c r="J366" s="61" t="s">
        <v>317</v>
      </c>
      <c r="K366" s="64">
        <v>4257.03</v>
      </c>
      <c r="L366" s="61"/>
      <c r="M366" s="65" t="s">
        <v>224</v>
      </c>
      <c r="N366" s="61"/>
      <c r="O366" s="61"/>
      <c r="P366" s="61"/>
      <c r="Q366" s="61"/>
      <c r="R366" s="61">
        <v>544770</v>
      </c>
      <c r="S366" s="66" t="s">
        <v>237</v>
      </c>
    </row>
    <row r="367" spans="1:44">
      <c r="A367" s="61" t="s">
        <v>314</v>
      </c>
      <c r="B367" s="62">
        <v>46101</v>
      </c>
      <c r="C367" s="63" t="s">
        <v>2417</v>
      </c>
      <c r="D367" s="67">
        <v>9323</v>
      </c>
      <c r="E367" s="67"/>
      <c r="F367" s="61" t="str">
        <f t="shared" si="5"/>
        <v>借</v>
      </c>
      <c r="G367" s="64">
        <f>SUM(D$6:E367)</f>
        <v>22026488</v>
      </c>
      <c r="H367" s="61"/>
      <c r="I367" s="61" t="s">
        <v>2418</v>
      </c>
      <c r="J367" s="61" t="s">
        <v>317</v>
      </c>
      <c r="K367" s="64">
        <v>2000.9</v>
      </c>
      <c r="L367" s="61"/>
      <c r="M367" s="65" t="s">
        <v>224</v>
      </c>
      <c r="N367" s="61"/>
      <c r="O367" s="61"/>
      <c r="P367" s="61"/>
      <c r="Q367" s="61"/>
      <c r="R367" s="61">
        <v>544770</v>
      </c>
      <c r="S367" s="66" t="s">
        <v>237</v>
      </c>
    </row>
    <row r="368" spans="1:44">
      <c r="A368" s="61" t="s">
        <v>314</v>
      </c>
      <c r="B368" s="62">
        <v>46101</v>
      </c>
      <c r="C368" s="63" t="s">
        <v>2419</v>
      </c>
      <c r="D368" s="67">
        <v>181667</v>
      </c>
      <c r="E368" s="67"/>
      <c r="F368" s="61" t="str">
        <f t="shared" si="5"/>
        <v>借</v>
      </c>
      <c r="G368" s="64">
        <f>SUM(D$6:E368)</f>
        <v>22208155</v>
      </c>
      <c r="H368" s="61"/>
      <c r="I368" s="61" t="s">
        <v>2420</v>
      </c>
      <c r="J368" s="61" t="s">
        <v>338</v>
      </c>
      <c r="K368" s="64">
        <v>8449634</v>
      </c>
      <c r="L368" s="61"/>
      <c r="M368" s="65" t="s">
        <v>224</v>
      </c>
      <c r="N368" s="61"/>
      <c r="O368" s="61"/>
      <c r="P368" s="61"/>
      <c r="Q368" s="61"/>
      <c r="R368" s="61">
        <v>544766</v>
      </c>
      <c r="S368" s="66" t="s">
        <v>237</v>
      </c>
    </row>
    <row r="369" spans="1:19">
      <c r="A369" s="61" t="s">
        <v>314</v>
      </c>
      <c r="B369" s="62">
        <v>46101</v>
      </c>
      <c r="C369" s="63" t="s">
        <v>2421</v>
      </c>
      <c r="D369" s="67">
        <v>3020</v>
      </c>
      <c r="E369" s="67"/>
      <c r="F369" s="61" t="str">
        <f t="shared" si="5"/>
        <v>借</v>
      </c>
      <c r="G369" s="64">
        <f>SUM(D$6:E369)</f>
        <v>22211175</v>
      </c>
      <c r="H369" s="61"/>
      <c r="I369" s="61" t="s">
        <v>2422</v>
      </c>
      <c r="J369" s="61" t="s">
        <v>2423</v>
      </c>
      <c r="K369" s="64">
        <v>1675.21</v>
      </c>
      <c r="L369" s="61"/>
      <c r="M369" s="65" t="s">
        <v>224</v>
      </c>
      <c r="N369" s="61"/>
      <c r="O369" s="61"/>
      <c r="P369" s="61"/>
      <c r="Q369" s="61"/>
      <c r="R369" s="61">
        <v>544770</v>
      </c>
      <c r="S369" s="66" t="s">
        <v>237</v>
      </c>
    </row>
    <row r="370" spans="1:19">
      <c r="A370" s="61" t="s">
        <v>314</v>
      </c>
      <c r="B370" s="62">
        <v>46104</v>
      </c>
      <c r="C370" s="63" t="s">
        <v>2424</v>
      </c>
      <c r="D370" s="67">
        <v>1100</v>
      </c>
      <c r="E370" s="67"/>
      <c r="F370" s="61" t="str">
        <f t="shared" si="5"/>
        <v>借</v>
      </c>
      <c r="G370" s="64">
        <f>SUM(D$6:E370)</f>
        <v>22212275</v>
      </c>
      <c r="H370" s="61"/>
      <c r="I370" s="61" t="s">
        <v>2425</v>
      </c>
      <c r="J370" s="61" t="s">
        <v>317</v>
      </c>
      <c r="K370" s="64">
        <v>235.1</v>
      </c>
      <c r="L370" s="61"/>
      <c r="M370" s="65" t="s">
        <v>224</v>
      </c>
      <c r="N370" s="61"/>
      <c r="O370" s="61"/>
      <c r="P370" s="61"/>
      <c r="Q370" s="61"/>
      <c r="R370" s="61">
        <v>544774</v>
      </c>
      <c r="S370" s="66" t="s">
        <v>237</v>
      </c>
    </row>
    <row r="371" spans="1:19">
      <c r="A371" s="61" t="s">
        <v>314</v>
      </c>
      <c r="B371" s="62">
        <v>46104</v>
      </c>
      <c r="C371" s="63" t="s">
        <v>2426</v>
      </c>
      <c r="D371" s="67">
        <v>15509</v>
      </c>
      <c r="E371" s="67"/>
      <c r="F371" s="61" t="str">
        <f t="shared" si="5"/>
        <v>借</v>
      </c>
      <c r="G371" s="64">
        <f>SUM(D$6:E371)</f>
        <v>22227784</v>
      </c>
      <c r="H371" s="61"/>
      <c r="I371" s="61" t="s">
        <v>2427</v>
      </c>
      <c r="J371" s="61" t="s">
        <v>317</v>
      </c>
      <c r="K371" s="64">
        <v>3315.89</v>
      </c>
      <c r="L371" s="61"/>
      <c r="M371" s="65" t="s">
        <v>224</v>
      </c>
      <c r="N371" s="61"/>
      <c r="O371" s="61"/>
      <c r="P371" s="61"/>
      <c r="Q371" s="61"/>
      <c r="R371" s="61">
        <v>544774</v>
      </c>
      <c r="S371" s="66" t="s">
        <v>237</v>
      </c>
    </row>
    <row r="372" spans="1:19">
      <c r="A372" s="61" t="s">
        <v>314</v>
      </c>
      <c r="B372" s="62">
        <v>46104</v>
      </c>
      <c r="C372" s="63" t="s">
        <v>2428</v>
      </c>
      <c r="D372" s="67">
        <v>149148</v>
      </c>
      <c r="E372" s="67"/>
      <c r="F372" s="61" t="str">
        <f t="shared" si="5"/>
        <v>借</v>
      </c>
      <c r="G372" s="64">
        <f>SUM(D$6:E372)</f>
        <v>22376932</v>
      </c>
      <c r="H372" s="61"/>
      <c r="I372" s="61" t="s">
        <v>2429</v>
      </c>
      <c r="J372" s="61" t="s">
        <v>338</v>
      </c>
      <c r="K372" s="64">
        <v>6937144</v>
      </c>
      <c r="L372" s="61"/>
      <c r="M372" s="65" t="s">
        <v>224</v>
      </c>
      <c r="N372" s="61"/>
      <c r="O372" s="61"/>
      <c r="P372" s="61"/>
      <c r="Q372" s="61"/>
      <c r="R372" s="61">
        <v>544771</v>
      </c>
      <c r="S372" s="66" t="s">
        <v>237</v>
      </c>
    </row>
    <row r="373" spans="1:19">
      <c r="A373" s="61" t="s">
        <v>314</v>
      </c>
      <c r="B373" s="62">
        <v>46104</v>
      </c>
      <c r="C373" s="63" t="s">
        <v>2430</v>
      </c>
      <c r="D373" s="67">
        <v>32686</v>
      </c>
      <c r="E373" s="67"/>
      <c r="F373" s="61" t="str">
        <f t="shared" si="5"/>
        <v>借</v>
      </c>
      <c r="G373" s="64">
        <f>SUM(D$6:E373)</f>
        <v>22409618</v>
      </c>
      <c r="H373" s="61"/>
      <c r="I373" s="61" t="s">
        <v>2431</v>
      </c>
      <c r="J373" s="61" t="s">
        <v>2423</v>
      </c>
      <c r="K373" s="64">
        <v>18318.3</v>
      </c>
      <c r="L373" s="61"/>
      <c r="M373" s="65" t="s">
        <v>224</v>
      </c>
      <c r="N373" s="61"/>
      <c r="O373" s="61"/>
      <c r="P373" s="61"/>
      <c r="Q373" s="61"/>
      <c r="R373" s="61">
        <v>544774</v>
      </c>
      <c r="S373" s="66" t="s">
        <v>237</v>
      </c>
    </row>
    <row r="374" spans="1:19">
      <c r="A374" s="61" t="s">
        <v>314</v>
      </c>
      <c r="B374" s="62">
        <v>46104</v>
      </c>
      <c r="C374" s="63" t="s">
        <v>2432</v>
      </c>
      <c r="D374" s="67">
        <v>900000</v>
      </c>
      <c r="E374" s="67"/>
      <c r="F374" s="61" t="str">
        <f t="shared" si="5"/>
        <v>借</v>
      </c>
      <c r="G374" s="64">
        <f>SUM(D$6:E374)</f>
        <v>23309618</v>
      </c>
      <c r="H374" s="61" t="s">
        <v>2433</v>
      </c>
      <c r="I374" s="61" t="s">
        <v>2434</v>
      </c>
      <c r="J374" s="61" t="s">
        <v>114</v>
      </c>
      <c r="K374" s="64">
        <v>900000</v>
      </c>
      <c r="L374" s="61"/>
      <c r="M374" s="65" t="s">
        <v>2435</v>
      </c>
      <c r="N374" s="61"/>
      <c r="O374" s="61"/>
      <c r="P374" s="61"/>
      <c r="Q374" s="61"/>
      <c r="R374" s="61">
        <v>545494</v>
      </c>
      <c r="S374" s="66" t="s">
        <v>843</v>
      </c>
    </row>
    <row r="375" spans="1:19">
      <c r="A375" s="61" t="s">
        <v>314</v>
      </c>
      <c r="B375" s="62">
        <v>46105</v>
      </c>
      <c r="C375" s="63" t="s">
        <v>2436</v>
      </c>
      <c r="D375" s="67">
        <v>26347</v>
      </c>
      <c r="E375" s="67"/>
      <c r="F375" s="61" t="str">
        <f t="shared" si="5"/>
        <v>借</v>
      </c>
      <c r="G375" s="64">
        <f>SUM(D$6:E375)</f>
        <v>23335965</v>
      </c>
      <c r="H375" s="61"/>
      <c r="I375" s="61" t="s">
        <v>2437</v>
      </c>
      <c r="J375" s="61" t="s">
        <v>317</v>
      </c>
      <c r="K375" s="64">
        <v>5632.42</v>
      </c>
      <c r="L375" s="61"/>
      <c r="M375" s="65" t="s">
        <v>224</v>
      </c>
      <c r="N375" s="61"/>
      <c r="O375" s="61"/>
      <c r="P375" s="61"/>
      <c r="Q375" s="61"/>
      <c r="R375" s="61">
        <v>545259</v>
      </c>
      <c r="S375" s="66" t="s">
        <v>237</v>
      </c>
    </row>
    <row r="376" spans="1:19">
      <c r="A376" s="61" t="s">
        <v>314</v>
      </c>
      <c r="B376" s="62">
        <v>46105</v>
      </c>
      <c r="C376" s="63" t="s">
        <v>2438</v>
      </c>
      <c r="D376" s="67">
        <v>1484</v>
      </c>
      <c r="E376" s="67"/>
      <c r="F376" s="61" t="str">
        <f t="shared" si="5"/>
        <v>借</v>
      </c>
      <c r="G376" s="64">
        <f>SUM(D$6:E376)</f>
        <v>23337449</v>
      </c>
      <c r="H376" s="61"/>
      <c r="I376" s="61" t="s">
        <v>2439</v>
      </c>
      <c r="J376" s="61" t="s">
        <v>317</v>
      </c>
      <c r="K376" s="64">
        <v>317.22000000000003</v>
      </c>
      <c r="L376" s="61"/>
      <c r="M376" s="65" t="s">
        <v>224</v>
      </c>
      <c r="N376" s="61"/>
      <c r="O376" s="61"/>
      <c r="P376" s="61"/>
      <c r="Q376" s="61"/>
      <c r="R376" s="61">
        <v>545259</v>
      </c>
      <c r="S376" s="66" t="s">
        <v>237</v>
      </c>
    </row>
    <row r="377" spans="1:19">
      <c r="A377" s="61" t="s">
        <v>314</v>
      </c>
      <c r="B377" s="62">
        <v>46105</v>
      </c>
      <c r="C377" s="63" t="s">
        <v>2440</v>
      </c>
      <c r="D377" s="67">
        <v>15070</v>
      </c>
      <c r="E377" s="67"/>
      <c r="F377" s="61" t="str">
        <f t="shared" si="5"/>
        <v>借</v>
      </c>
      <c r="G377" s="64">
        <f>SUM(D$6:E377)</f>
        <v>23352519</v>
      </c>
      <c r="H377" s="61"/>
      <c r="I377" s="61" t="s">
        <v>2441</v>
      </c>
      <c r="J377" s="61" t="s">
        <v>338</v>
      </c>
      <c r="K377" s="64">
        <v>700945</v>
      </c>
      <c r="L377" s="61"/>
      <c r="M377" s="65" t="s">
        <v>224</v>
      </c>
      <c r="N377" s="61"/>
      <c r="O377" s="61"/>
      <c r="P377" s="61"/>
      <c r="Q377" s="61"/>
      <c r="R377" s="61">
        <v>545242</v>
      </c>
      <c r="S377" s="66" t="s">
        <v>237</v>
      </c>
    </row>
    <row r="378" spans="1:19">
      <c r="A378" s="61" t="s">
        <v>314</v>
      </c>
      <c r="B378" s="62">
        <v>46105</v>
      </c>
      <c r="C378" s="63" t="s">
        <v>2442</v>
      </c>
      <c r="D378" s="67">
        <v>50737</v>
      </c>
      <c r="E378" s="67"/>
      <c r="F378" s="61" t="str">
        <f t="shared" si="5"/>
        <v>借</v>
      </c>
      <c r="G378" s="64">
        <f>SUM(D$6:E378)</f>
        <v>23403256</v>
      </c>
      <c r="H378" s="61"/>
      <c r="I378" s="61" t="s">
        <v>2443</v>
      </c>
      <c r="J378" s="61" t="s">
        <v>2423</v>
      </c>
      <c r="K378" s="64">
        <v>28096.99</v>
      </c>
      <c r="L378" s="61"/>
      <c r="M378" s="65" t="s">
        <v>224</v>
      </c>
      <c r="N378" s="61"/>
      <c r="O378" s="61"/>
      <c r="P378" s="61"/>
      <c r="Q378" s="61"/>
      <c r="R378" s="61">
        <v>545259</v>
      </c>
      <c r="S378" s="66" t="s">
        <v>237</v>
      </c>
    </row>
    <row r="379" spans="1:19">
      <c r="A379" s="61" t="s">
        <v>314</v>
      </c>
      <c r="B379" s="62">
        <v>46105</v>
      </c>
      <c r="C379" s="63" t="s">
        <v>2444</v>
      </c>
      <c r="D379" s="67">
        <v>1600000</v>
      </c>
      <c r="E379" s="67"/>
      <c r="F379" s="61" t="str">
        <f t="shared" si="5"/>
        <v>借</v>
      </c>
      <c r="G379" s="64">
        <f>SUM(D$6:E379)</f>
        <v>25003256</v>
      </c>
      <c r="H379" s="61" t="s">
        <v>2433</v>
      </c>
      <c r="I379" s="61" t="s">
        <v>2445</v>
      </c>
      <c r="J379" s="61" t="s">
        <v>114</v>
      </c>
      <c r="K379" s="64">
        <v>1600000</v>
      </c>
      <c r="L379" s="61"/>
      <c r="M379" s="65" t="s">
        <v>2446</v>
      </c>
      <c r="N379" s="61"/>
      <c r="O379" s="61"/>
      <c r="P379" s="61"/>
      <c r="Q379" s="61"/>
      <c r="R379" s="61">
        <v>545499</v>
      </c>
      <c r="S379" s="66" t="s">
        <v>843</v>
      </c>
    </row>
    <row r="380" spans="1:19">
      <c r="A380" s="61" t="s">
        <v>314</v>
      </c>
      <c r="B380" s="62">
        <v>46105</v>
      </c>
      <c r="C380" s="63" t="s">
        <v>2447</v>
      </c>
      <c r="D380" s="67">
        <v>2939520</v>
      </c>
      <c r="E380" s="67"/>
      <c r="F380" s="61" t="str">
        <f t="shared" si="5"/>
        <v>借</v>
      </c>
      <c r="G380" s="64">
        <f>SUM(D$6:E380)</f>
        <v>27942776</v>
      </c>
      <c r="H380" s="61" t="s">
        <v>336</v>
      </c>
      <c r="I380" s="61" t="s">
        <v>2448</v>
      </c>
      <c r="J380" s="61" t="s">
        <v>114</v>
      </c>
      <c r="K380" s="64">
        <v>2939520</v>
      </c>
      <c r="L380" s="61"/>
      <c r="M380" s="65" t="s">
        <v>2449</v>
      </c>
      <c r="N380" s="61"/>
      <c r="O380" s="61"/>
      <c r="P380" s="61"/>
      <c r="Q380" s="61"/>
      <c r="R380" s="61">
        <v>545205</v>
      </c>
      <c r="S380" s="66" t="s">
        <v>843</v>
      </c>
    </row>
    <row r="381" spans="1:19">
      <c r="A381" s="61" t="s">
        <v>314</v>
      </c>
      <c r="B381" s="62">
        <v>46105</v>
      </c>
      <c r="C381" s="63" t="s">
        <v>2450</v>
      </c>
      <c r="D381" s="67">
        <v>1493760</v>
      </c>
      <c r="E381" s="67"/>
      <c r="F381" s="61" t="str">
        <f t="shared" si="5"/>
        <v>借</v>
      </c>
      <c r="G381" s="64">
        <f>SUM(D$6:E381)</f>
        <v>29436536</v>
      </c>
      <c r="H381" s="61" t="s">
        <v>336</v>
      </c>
      <c r="I381" s="61" t="s">
        <v>2451</v>
      </c>
      <c r="J381" s="61" t="s">
        <v>114</v>
      </c>
      <c r="K381" s="64">
        <v>1493760</v>
      </c>
      <c r="L381" s="61"/>
      <c r="M381" s="65" t="s">
        <v>370</v>
      </c>
      <c r="N381" s="61"/>
      <c r="O381" s="61"/>
      <c r="P381" s="61"/>
      <c r="Q381" s="61"/>
      <c r="R381" s="61">
        <v>545206</v>
      </c>
      <c r="S381" s="66" t="s">
        <v>843</v>
      </c>
    </row>
    <row r="382" spans="1:19">
      <c r="A382" s="61" t="s">
        <v>314</v>
      </c>
      <c r="B382" s="62">
        <v>46105</v>
      </c>
      <c r="C382" s="63" t="s">
        <v>2452</v>
      </c>
      <c r="D382" s="67">
        <v>1493760</v>
      </c>
      <c r="E382" s="67"/>
      <c r="F382" s="61" t="str">
        <f t="shared" si="5"/>
        <v>借</v>
      </c>
      <c r="G382" s="64">
        <f>SUM(D$6:E382)</f>
        <v>30930296</v>
      </c>
      <c r="H382" s="61" t="s">
        <v>1132</v>
      </c>
      <c r="I382" s="61" t="s">
        <v>2451</v>
      </c>
      <c r="J382" s="61" t="s">
        <v>114</v>
      </c>
      <c r="K382" s="64">
        <v>1493760</v>
      </c>
      <c r="L382" s="61"/>
      <c r="M382" s="65" t="s">
        <v>370</v>
      </c>
      <c r="N382" s="61"/>
      <c r="O382" s="61"/>
      <c r="P382" s="61"/>
      <c r="Q382" s="61"/>
      <c r="R382" s="61">
        <v>545206</v>
      </c>
      <c r="S382" s="66" t="s">
        <v>843</v>
      </c>
    </row>
    <row r="383" spans="1:19">
      <c r="A383" s="61" t="s">
        <v>314</v>
      </c>
      <c r="B383" s="62">
        <v>46105</v>
      </c>
      <c r="C383" s="63" t="s">
        <v>2453</v>
      </c>
      <c r="D383" s="67">
        <v>25600</v>
      </c>
      <c r="E383" s="67"/>
      <c r="F383" s="61" t="str">
        <f t="shared" si="5"/>
        <v>借</v>
      </c>
      <c r="G383" s="64">
        <f>SUM(D$6:E383)</f>
        <v>30955896</v>
      </c>
      <c r="H383" s="61" t="s">
        <v>336</v>
      </c>
      <c r="I383" s="61" t="s">
        <v>2454</v>
      </c>
      <c r="J383" s="61" t="s">
        <v>114</v>
      </c>
      <c r="K383" s="64">
        <v>25600</v>
      </c>
      <c r="L383" s="61"/>
      <c r="M383" s="65" t="s">
        <v>2455</v>
      </c>
      <c r="N383" s="61"/>
      <c r="O383" s="61"/>
      <c r="P383" s="61"/>
      <c r="Q383" s="61"/>
      <c r="R383" s="61">
        <v>545207</v>
      </c>
      <c r="S383" s="66" t="s">
        <v>843</v>
      </c>
    </row>
    <row r="384" spans="1:19">
      <c r="A384" s="61" t="s">
        <v>314</v>
      </c>
      <c r="B384" s="62">
        <v>46106</v>
      </c>
      <c r="C384" s="63" t="s">
        <v>2456</v>
      </c>
      <c r="D384" s="67">
        <v>55814</v>
      </c>
      <c r="E384" s="67"/>
      <c r="F384" s="61" t="str">
        <f t="shared" si="5"/>
        <v>借</v>
      </c>
      <c r="G384" s="64">
        <f>SUM(D$6:E384)</f>
        <v>31011710</v>
      </c>
      <c r="H384" s="61"/>
      <c r="I384" s="61" t="s">
        <v>2457</v>
      </c>
      <c r="J384" s="61" t="s">
        <v>337</v>
      </c>
      <c r="K384" s="64">
        <v>1495.78</v>
      </c>
      <c r="L384" s="61"/>
      <c r="M384" s="65" t="s">
        <v>224</v>
      </c>
      <c r="N384" s="61"/>
      <c r="O384" s="61"/>
      <c r="P384" s="61"/>
      <c r="Q384" s="61"/>
      <c r="R384" s="61">
        <v>545260</v>
      </c>
      <c r="S384" s="66" t="s">
        <v>237</v>
      </c>
    </row>
    <row r="385" spans="1:19">
      <c r="A385" s="61" t="s">
        <v>314</v>
      </c>
      <c r="B385" s="62">
        <v>46106</v>
      </c>
      <c r="C385" s="63" t="s">
        <v>2458</v>
      </c>
      <c r="D385" s="67">
        <v>204628</v>
      </c>
      <c r="E385" s="67"/>
      <c r="F385" s="61" t="str">
        <f t="shared" si="5"/>
        <v>借</v>
      </c>
      <c r="G385" s="64">
        <f>SUM(D$6:E385)</f>
        <v>31216338</v>
      </c>
      <c r="H385" s="61"/>
      <c r="I385" s="61" t="s">
        <v>2459</v>
      </c>
      <c r="J385" s="61" t="s">
        <v>337</v>
      </c>
      <c r="K385" s="64">
        <v>5483.96</v>
      </c>
      <c r="L385" s="61"/>
      <c r="M385" s="65" t="s">
        <v>224</v>
      </c>
      <c r="N385" s="61"/>
      <c r="O385" s="61"/>
      <c r="P385" s="61"/>
      <c r="Q385" s="61"/>
      <c r="R385" s="61">
        <v>545260</v>
      </c>
      <c r="S385" s="66" t="s">
        <v>237</v>
      </c>
    </row>
    <row r="386" spans="1:19">
      <c r="A386" s="61" t="s">
        <v>314</v>
      </c>
      <c r="B386" s="62">
        <v>46106</v>
      </c>
      <c r="C386" s="63" t="s">
        <v>2460</v>
      </c>
      <c r="D386" s="67">
        <v>29554</v>
      </c>
      <c r="E386" s="67"/>
      <c r="F386" s="61" t="str">
        <f t="shared" si="5"/>
        <v>借</v>
      </c>
      <c r="G386" s="64">
        <f>SUM(D$6:E386)</f>
        <v>31245892</v>
      </c>
      <c r="H386" s="61"/>
      <c r="I386" s="61" t="s">
        <v>2461</v>
      </c>
      <c r="J386" s="61" t="s">
        <v>1477</v>
      </c>
      <c r="K386" s="64">
        <v>12314400</v>
      </c>
      <c r="L386" s="61"/>
      <c r="M386" s="65" t="s">
        <v>224</v>
      </c>
      <c r="N386" s="61"/>
      <c r="O386" s="61"/>
      <c r="P386" s="61"/>
      <c r="Q386" s="61"/>
      <c r="R386" s="61">
        <v>544058</v>
      </c>
      <c r="S386" s="66" t="s">
        <v>237</v>
      </c>
    </row>
    <row r="387" spans="1:19">
      <c r="A387" s="61" t="s">
        <v>314</v>
      </c>
      <c r="B387" s="62">
        <v>46106</v>
      </c>
      <c r="C387" s="63" t="s">
        <v>2462</v>
      </c>
      <c r="D387" s="67">
        <v>69742</v>
      </c>
      <c r="E387" s="67"/>
      <c r="F387" s="61" t="str">
        <f t="shared" si="5"/>
        <v>借</v>
      </c>
      <c r="G387" s="64">
        <f>SUM(D$6:E387)</f>
        <v>31315634</v>
      </c>
      <c r="H387" s="61"/>
      <c r="I387" s="61" t="s">
        <v>2463</v>
      </c>
      <c r="J387" s="61" t="s">
        <v>338</v>
      </c>
      <c r="K387" s="64">
        <v>3258940</v>
      </c>
      <c r="L387" s="61"/>
      <c r="M387" s="65" t="s">
        <v>224</v>
      </c>
      <c r="N387" s="61"/>
      <c r="O387" s="61"/>
      <c r="P387" s="61"/>
      <c r="Q387" s="61"/>
      <c r="R387" s="61">
        <v>545260</v>
      </c>
      <c r="S387" s="66" t="s">
        <v>237</v>
      </c>
    </row>
    <row r="388" spans="1:19">
      <c r="A388" s="61" t="s">
        <v>314</v>
      </c>
      <c r="B388" s="62">
        <v>46107</v>
      </c>
      <c r="C388" s="63" t="s">
        <v>2464</v>
      </c>
      <c r="D388" s="67">
        <v>554788</v>
      </c>
      <c r="E388" s="67"/>
      <c r="F388" s="61" t="str">
        <f t="shared" si="5"/>
        <v>借</v>
      </c>
      <c r="G388" s="64">
        <f>SUM(D$6:E388)</f>
        <v>31870422</v>
      </c>
      <c r="H388" s="61"/>
      <c r="I388" s="61" t="s">
        <v>2465</v>
      </c>
      <c r="J388" s="61" t="s">
        <v>338</v>
      </c>
      <c r="K388" s="64">
        <v>25684605</v>
      </c>
      <c r="L388" s="61"/>
      <c r="M388" s="65" t="s">
        <v>224</v>
      </c>
      <c r="N388" s="61"/>
      <c r="O388" s="61"/>
      <c r="P388" s="61"/>
      <c r="Q388" s="61"/>
      <c r="R388" s="61">
        <v>545764</v>
      </c>
      <c r="S388" s="66" t="s">
        <v>237</v>
      </c>
    </row>
    <row r="389" spans="1:19">
      <c r="A389" s="61" t="s">
        <v>314</v>
      </c>
      <c r="B389" s="62">
        <v>46108</v>
      </c>
      <c r="C389" s="63" t="s">
        <v>2466</v>
      </c>
      <c r="D389" s="67">
        <v>1240</v>
      </c>
      <c r="E389" s="67"/>
      <c r="F389" s="61" t="str">
        <f t="shared" si="5"/>
        <v>借</v>
      </c>
      <c r="G389" s="64">
        <f>SUM(D$6:E389)</f>
        <v>31871662</v>
      </c>
      <c r="H389" s="61"/>
      <c r="I389" s="61" t="s">
        <v>2467</v>
      </c>
      <c r="J389" s="61" t="s">
        <v>317</v>
      </c>
      <c r="K389" s="64">
        <v>266.83</v>
      </c>
      <c r="L389" s="61"/>
      <c r="M389" s="65" t="s">
        <v>224</v>
      </c>
      <c r="N389" s="61"/>
      <c r="O389" s="61"/>
      <c r="P389" s="61"/>
      <c r="Q389" s="61"/>
      <c r="R389" s="61">
        <v>546308</v>
      </c>
      <c r="S389" s="66" t="s">
        <v>237</v>
      </c>
    </row>
    <row r="390" spans="1:19">
      <c r="A390" s="61" t="s">
        <v>314</v>
      </c>
      <c r="B390" s="62">
        <v>46108</v>
      </c>
      <c r="C390" s="63" t="s">
        <v>2468</v>
      </c>
      <c r="D390" s="67">
        <v>12446</v>
      </c>
      <c r="E390" s="67"/>
      <c r="F390" s="61" t="str">
        <f t="shared" si="5"/>
        <v>借</v>
      </c>
      <c r="G390" s="64">
        <f>SUM(D$6:E390)</f>
        <v>31884108</v>
      </c>
      <c r="H390" s="61"/>
      <c r="I390" s="61" t="s">
        <v>2469</v>
      </c>
      <c r="J390" s="61" t="s">
        <v>317</v>
      </c>
      <c r="K390" s="64">
        <v>2679.18</v>
      </c>
      <c r="L390" s="61"/>
      <c r="M390" s="65" t="s">
        <v>224</v>
      </c>
      <c r="N390" s="61"/>
      <c r="O390" s="61"/>
      <c r="P390" s="61"/>
      <c r="Q390" s="61"/>
      <c r="R390" s="61">
        <v>546308</v>
      </c>
      <c r="S390" s="66" t="s">
        <v>237</v>
      </c>
    </row>
    <row r="391" spans="1:19">
      <c r="A391" s="61" t="s">
        <v>314</v>
      </c>
      <c r="B391" s="62">
        <v>46108</v>
      </c>
      <c r="C391" s="63" t="s">
        <v>2470</v>
      </c>
      <c r="D391" s="67">
        <v>3958</v>
      </c>
      <c r="E391" s="67"/>
      <c r="F391" s="61" t="str">
        <f t="shared" ref="F391:F454" si="6">IF(G391&gt;0,"借","貸")</f>
        <v>借</v>
      </c>
      <c r="G391" s="64">
        <f>SUM(D$6:E391)</f>
        <v>31888066</v>
      </c>
      <c r="H391" s="61"/>
      <c r="I391" s="61" t="s">
        <v>2471</v>
      </c>
      <c r="J391" s="61" t="s">
        <v>337</v>
      </c>
      <c r="K391" s="64">
        <v>106</v>
      </c>
      <c r="L391" s="61"/>
      <c r="M391" s="65" t="s">
        <v>224</v>
      </c>
      <c r="N391" s="61"/>
      <c r="O391" s="61"/>
      <c r="P391" s="61"/>
      <c r="Q391" s="61"/>
      <c r="R391" s="61">
        <v>546304</v>
      </c>
      <c r="S391" s="66" t="s">
        <v>237</v>
      </c>
    </row>
    <row r="392" spans="1:19">
      <c r="A392" s="61" t="s">
        <v>314</v>
      </c>
      <c r="B392" s="62">
        <v>46108</v>
      </c>
      <c r="C392" s="63" t="s">
        <v>2472</v>
      </c>
      <c r="D392" s="67">
        <v>61974</v>
      </c>
      <c r="E392" s="67"/>
      <c r="F392" s="61" t="str">
        <f t="shared" si="6"/>
        <v>借</v>
      </c>
      <c r="G392" s="64">
        <f>SUM(D$6:E392)</f>
        <v>31950040</v>
      </c>
      <c r="H392" s="61"/>
      <c r="I392" s="61" t="s">
        <v>2473</v>
      </c>
      <c r="J392" s="61" t="s">
        <v>337</v>
      </c>
      <c r="K392" s="64">
        <v>1659.85</v>
      </c>
      <c r="L392" s="61"/>
      <c r="M392" s="65" t="s">
        <v>224</v>
      </c>
      <c r="N392" s="61"/>
      <c r="O392" s="61"/>
      <c r="P392" s="61"/>
      <c r="Q392" s="61"/>
      <c r="R392" s="61">
        <v>546304</v>
      </c>
      <c r="S392" s="66" t="s">
        <v>237</v>
      </c>
    </row>
    <row r="393" spans="1:19">
      <c r="A393" s="61" t="s">
        <v>314</v>
      </c>
      <c r="B393" s="62">
        <v>46108</v>
      </c>
      <c r="C393" s="63" t="s">
        <v>2474</v>
      </c>
      <c r="D393" s="67">
        <v>151033</v>
      </c>
      <c r="E393" s="67"/>
      <c r="F393" s="61" t="str">
        <f t="shared" si="6"/>
        <v>借</v>
      </c>
      <c r="G393" s="64">
        <f>SUM(D$6:E393)</f>
        <v>32101073</v>
      </c>
      <c r="H393" s="61"/>
      <c r="I393" s="61" t="s">
        <v>2475</v>
      </c>
      <c r="J393" s="61" t="s">
        <v>338</v>
      </c>
      <c r="K393" s="64">
        <v>7057581</v>
      </c>
      <c r="L393" s="61"/>
      <c r="M393" s="65" t="s">
        <v>224</v>
      </c>
      <c r="N393" s="61"/>
      <c r="O393" s="61"/>
      <c r="P393" s="61"/>
      <c r="Q393" s="61"/>
      <c r="R393" s="61">
        <v>546304</v>
      </c>
      <c r="S393" s="66" t="s">
        <v>237</v>
      </c>
    </row>
    <row r="394" spans="1:19">
      <c r="A394" s="61" t="s">
        <v>314</v>
      </c>
      <c r="B394" s="62">
        <v>46111</v>
      </c>
      <c r="C394" s="63" t="s">
        <v>2476</v>
      </c>
      <c r="D394" s="67">
        <v>46</v>
      </c>
      <c r="E394" s="67"/>
      <c r="F394" s="61" t="str">
        <f t="shared" si="6"/>
        <v>借</v>
      </c>
      <c r="G394" s="64">
        <f>SUM(D$6:E394)</f>
        <v>32101119</v>
      </c>
      <c r="H394" s="61"/>
      <c r="I394" s="61" t="s">
        <v>2477</v>
      </c>
      <c r="J394" s="61" t="s">
        <v>337</v>
      </c>
      <c r="K394" s="64">
        <v>1.24</v>
      </c>
      <c r="L394" s="61"/>
      <c r="M394" s="65" t="s">
        <v>224</v>
      </c>
      <c r="N394" s="61"/>
      <c r="O394" s="61"/>
      <c r="P394" s="61"/>
      <c r="Q394" s="61"/>
      <c r="R394" s="61">
        <v>546512</v>
      </c>
      <c r="S394" s="66" t="s">
        <v>237</v>
      </c>
    </row>
    <row r="395" spans="1:19">
      <c r="A395" s="61" t="s">
        <v>314</v>
      </c>
      <c r="B395" s="62">
        <v>46111</v>
      </c>
      <c r="C395" s="63" t="s">
        <v>2478</v>
      </c>
      <c r="D395" s="67">
        <v>70383</v>
      </c>
      <c r="E395" s="67"/>
      <c r="F395" s="61" t="str">
        <f t="shared" si="6"/>
        <v>借</v>
      </c>
      <c r="G395" s="64">
        <f>SUM(D$6:E395)</f>
        <v>32171502</v>
      </c>
      <c r="H395" s="61"/>
      <c r="I395" s="61" t="s">
        <v>2479</v>
      </c>
      <c r="J395" s="61" t="s">
        <v>337</v>
      </c>
      <c r="K395" s="64">
        <v>1896.77</v>
      </c>
      <c r="L395" s="61"/>
      <c r="M395" s="65" t="s">
        <v>224</v>
      </c>
      <c r="N395" s="61"/>
      <c r="O395" s="61"/>
      <c r="P395" s="61"/>
      <c r="Q395" s="61"/>
      <c r="R395" s="61">
        <v>546512</v>
      </c>
      <c r="S395" s="66" t="s">
        <v>237</v>
      </c>
    </row>
    <row r="396" spans="1:19">
      <c r="A396" s="61" t="s">
        <v>314</v>
      </c>
      <c r="B396" s="62">
        <v>46111</v>
      </c>
      <c r="C396" s="63" t="s">
        <v>2480</v>
      </c>
      <c r="D396" s="67">
        <v>699564</v>
      </c>
      <c r="E396" s="67"/>
      <c r="F396" s="61" t="str">
        <f t="shared" si="6"/>
        <v>借</v>
      </c>
      <c r="G396" s="64">
        <f>SUM(D$6:E396)</f>
        <v>32871066</v>
      </c>
      <c r="H396" s="61"/>
      <c r="I396" s="61" t="s">
        <v>2481</v>
      </c>
      <c r="J396" s="61" t="s">
        <v>338</v>
      </c>
      <c r="K396" s="64">
        <v>32843340</v>
      </c>
      <c r="L396" s="61"/>
      <c r="M396" s="65" t="s">
        <v>224</v>
      </c>
      <c r="N396" s="61"/>
      <c r="O396" s="61"/>
      <c r="P396" s="61"/>
      <c r="Q396" s="61"/>
      <c r="R396" s="61">
        <v>546512</v>
      </c>
      <c r="S396" s="66" t="s">
        <v>237</v>
      </c>
    </row>
    <row r="397" spans="1:19">
      <c r="A397" s="61" t="s">
        <v>314</v>
      </c>
      <c r="B397" s="62">
        <v>46111</v>
      </c>
      <c r="C397" s="63" t="s">
        <v>2482</v>
      </c>
      <c r="D397" s="67">
        <v>30000</v>
      </c>
      <c r="E397" s="67"/>
      <c r="F397" s="61" t="str">
        <f t="shared" si="6"/>
        <v>借</v>
      </c>
      <c r="G397" s="64">
        <f>SUM(D$6:E397)</f>
        <v>32901066</v>
      </c>
      <c r="H397" s="61" t="s">
        <v>335</v>
      </c>
      <c r="I397" s="61" t="s">
        <v>2483</v>
      </c>
      <c r="J397" s="61" t="s">
        <v>114</v>
      </c>
      <c r="K397" s="64">
        <v>30000</v>
      </c>
      <c r="L397" s="61"/>
      <c r="M397" s="65" t="s">
        <v>2484</v>
      </c>
      <c r="N397" s="61"/>
      <c r="O397" s="61"/>
      <c r="P397" s="61"/>
      <c r="Q397" s="61"/>
      <c r="R397" s="61">
        <v>545758</v>
      </c>
      <c r="S397" s="66" t="s">
        <v>843</v>
      </c>
    </row>
    <row r="398" spans="1:19">
      <c r="A398" s="61" t="s">
        <v>314</v>
      </c>
      <c r="B398" s="62">
        <v>46112</v>
      </c>
      <c r="C398" s="63" t="s">
        <v>2485</v>
      </c>
      <c r="D398" s="67"/>
      <c r="E398" s="67">
        <v>-40</v>
      </c>
      <c r="F398" s="61" t="str">
        <f t="shared" si="6"/>
        <v>借</v>
      </c>
      <c r="G398" s="64">
        <f>SUM(D$6:E398)</f>
        <v>32901026</v>
      </c>
      <c r="H398" s="61"/>
      <c r="I398" s="61" t="s">
        <v>2486</v>
      </c>
      <c r="J398" s="61" t="s">
        <v>2001</v>
      </c>
      <c r="K398" s="64">
        <v>0</v>
      </c>
      <c r="L398" s="61"/>
      <c r="M398" s="65" t="s">
        <v>224</v>
      </c>
      <c r="N398" s="61"/>
      <c r="O398" s="61"/>
      <c r="P398" s="61"/>
      <c r="Q398" s="61"/>
      <c r="R398" s="61">
        <v>547217</v>
      </c>
      <c r="S398" s="66" t="s">
        <v>237</v>
      </c>
    </row>
    <row r="399" spans="1:19">
      <c r="A399" s="61" t="s">
        <v>314</v>
      </c>
      <c r="B399" s="62">
        <v>46112</v>
      </c>
      <c r="C399" s="63" t="s">
        <v>2487</v>
      </c>
      <c r="D399" s="67"/>
      <c r="E399" s="67">
        <v>-402</v>
      </c>
      <c r="F399" s="61" t="str">
        <f t="shared" si="6"/>
        <v>借</v>
      </c>
      <c r="G399" s="64">
        <f>SUM(D$6:E399)</f>
        <v>32900624</v>
      </c>
      <c r="H399" s="61"/>
      <c r="I399" s="61" t="s">
        <v>2486</v>
      </c>
      <c r="J399" s="61" t="s">
        <v>317</v>
      </c>
      <c r="K399" s="64">
        <v>0</v>
      </c>
      <c r="L399" s="61"/>
      <c r="M399" s="65" t="s">
        <v>224</v>
      </c>
      <c r="N399" s="61"/>
      <c r="O399" s="61"/>
      <c r="P399" s="61"/>
      <c r="Q399" s="61"/>
      <c r="R399" s="61">
        <v>547217</v>
      </c>
      <c r="S399" s="66" t="s">
        <v>237</v>
      </c>
    </row>
    <row r="400" spans="1:19">
      <c r="A400" s="61" t="s">
        <v>314</v>
      </c>
      <c r="B400" s="62">
        <v>46112</v>
      </c>
      <c r="C400" s="63" t="s">
        <v>2488</v>
      </c>
      <c r="D400" s="67">
        <v>600</v>
      </c>
      <c r="E400" s="67"/>
      <c r="F400" s="61" t="str">
        <f t="shared" si="6"/>
        <v>借</v>
      </c>
      <c r="G400" s="64">
        <f>SUM(D$6:E400)</f>
        <v>32901224</v>
      </c>
      <c r="H400" s="61"/>
      <c r="I400" s="61" t="s">
        <v>2489</v>
      </c>
      <c r="J400" s="61" t="s">
        <v>337</v>
      </c>
      <c r="K400" s="64">
        <v>16.21</v>
      </c>
      <c r="L400" s="61"/>
      <c r="M400" s="65" t="s">
        <v>224</v>
      </c>
      <c r="N400" s="61"/>
      <c r="O400" s="61"/>
      <c r="P400" s="61"/>
      <c r="Q400" s="61"/>
      <c r="R400" s="61">
        <v>546667</v>
      </c>
      <c r="S400" s="66" t="s">
        <v>237</v>
      </c>
    </row>
    <row r="401" spans="1:19">
      <c r="A401" s="61" t="s">
        <v>314</v>
      </c>
      <c r="B401" s="62">
        <v>46112</v>
      </c>
      <c r="C401" s="63" t="s">
        <v>2490</v>
      </c>
      <c r="D401" s="67"/>
      <c r="E401" s="67">
        <v>-9309</v>
      </c>
      <c r="F401" s="61" t="str">
        <f t="shared" si="6"/>
        <v>借</v>
      </c>
      <c r="G401" s="64">
        <f>SUM(D$6:E401)</f>
        <v>32891915</v>
      </c>
      <c r="H401" s="61"/>
      <c r="I401" s="61" t="s">
        <v>2486</v>
      </c>
      <c r="J401" s="61" t="s">
        <v>337</v>
      </c>
      <c r="K401" s="64">
        <v>0</v>
      </c>
      <c r="L401" s="61"/>
      <c r="M401" s="65" t="s">
        <v>224</v>
      </c>
      <c r="N401" s="61"/>
      <c r="O401" s="61"/>
      <c r="P401" s="61"/>
      <c r="Q401" s="61"/>
      <c r="R401" s="61">
        <v>547217</v>
      </c>
      <c r="S401" s="66" t="s">
        <v>237</v>
      </c>
    </row>
    <row r="402" spans="1:19">
      <c r="A402" s="61" t="s">
        <v>314</v>
      </c>
      <c r="B402" s="62">
        <v>46112</v>
      </c>
      <c r="C402" s="63" t="s">
        <v>2491</v>
      </c>
      <c r="D402" s="67">
        <v>1242</v>
      </c>
      <c r="E402" s="67"/>
      <c r="F402" s="61" t="str">
        <f t="shared" si="6"/>
        <v>借</v>
      </c>
      <c r="G402" s="64">
        <f>SUM(D$6:E402)</f>
        <v>32893157</v>
      </c>
      <c r="H402" s="61"/>
      <c r="I402" s="61" t="s">
        <v>2492</v>
      </c>
      <c r="J402" s="61" t="s">
        <v>337</v>
      </c>
      <c r="K402" s="64">
        <v>33.590000000000003</v>
      </c>
      <c r="L402" s="61"/>
      <c r="M402" s="65" t="s">
        <v>224</v>
      </c>
      <c r="N402" s="61"/>
      <c r="O402" s="61"/>
      <c r="P402" s="61"/>
      <c r="Q402" s="61"/>
      <c r="R402" s="61">
        <v>546667</v>
      </c>
      <c r="S402" s="66" t="s">
        <v>237</v>
      </c>
    </row>
    <row r="403" spans="1:19">
      <c r="A403" s="61" t="s">
        <v>314</v>
      </c>
      <c r="B403" s="62">
        <v>46112</v>
      </c>
      <c r="C403" s="63" t="s">
        <v>2493</v>
      </c>
      <c r="D403" s="67"/>
      <c r="E403" s="67">
        <v>-6157</v>
      </c>
      <c r="F403" s="61" t="str">
        <f t="shared" si="6"/>
        <v>借</v>
      </c>
      <c r="G403" s="64">
        <f>SUM(D$6:E403)</f>
        <v>32887000</v>
      </c>
      <c r="H403" s="61"/>
      <c r="I403" s="61" t="s">
        <v>2486</v>
      </c>
      <c r="J403" s="61" t="s">
        <v>1477</v>
      </c>
      <c r="K403" s="64">
        <v>0</v>
      </c>
      <c r="L403" s="61"/>
      <c r="M403" s="65" t="s">
        <v>224</v>
      </c>
      <c r="N403" s="61"/>
      <c r="O403" s="61"/>
      <c r="P403" s="61"/>
      <c r="Q403" s="61"/>
      <c r="R403" s="61">
        <v>547217</v>
      </c>
      <c r="S403" s="66" t="s">
        <v>237</v>
      </c>
    </row>
    <row r="404" spans="1:19">
      <c r="A404" s="61" t="s">
        <v>314</v>
      </c>
      <c r="B404" s="62">
        <v>46112</v>
      </c>
      <c r="C404" s="63" t="s">
        <v>2494</v>
      </c>
      <c r="D404" s="67"/>
      <c r="E404" s="67">
        <v>-50</v>
      </c>
      <c r="F404" s="61" t="str">
        <f t="shared" si="6"/>
        <v>借</v>
      </c>
      <c r="G404" s="64">
        <f>SUM(D$6:E404)</f>
        <v>32886950</v>
      </c>
      <c r="H404" s="61"/>
      <c r="I404" s="61" t="s">
        <v>2486</v>
      </c>
      <c r="J404" s="61" t="s">
        <v>1520</v>
      </c>
      <c r="K404" s="64">
        <v>0</v>
      </c>
      <c r="L404" s="61"/>
      <c r="M404" s="65" t="s">
        <v>224</v>
      </c>
      <c r="N404" s="61"/>
      <c r="O404" s="61"/>
      <c r="P404" s="61"/>
      <c r="Q404" s="61"/>
      <c r="R404" s="61">
        <v>547217</v>
      </c>
      <c r="S404" s="66" t="s">
        <v>237</v>
      </c>
    </row>
    <row r="405" spans="1:19">
      <c r="A405" s="61" t="s">
        <v>314</v>
      </c>
      <c r="B405" s="62">
        <v>46112</v>
      </c>
      <c r="C405" s="63" t="s">
        <v>2495</v>
      </c>
      <c r="D405" s="67">
        <v>3368</v>
      </c>
      <c r="E405" s="67"/>
      <c r="F405" s="61" t="str">
        <f t="shared" si="6"/>
        <v>借</v>
      </c>
      <c r="G405" s="64">
        <f>SUM(D$6:E405)</f>
        <v>32890318</v>
      </c>
      <c r="H405" s="61"/>
      <c r="I405" s="61" t="s">
        <v>2496</v>
      </c>
      <c r="J405" s="61" t="s">
        <v>1504</v>
      </c>
      <c r="K405" s="64">
        <v>16500</v>
      </c>
      <c r="L405" s="61"/>
      <c r="M405" s="65" t="s">
        <v>1513</v>
      </c>
      <c r="N405" s="61"/>
      <c r="O405" s="61"/>
      <c r="P405" s="61"/>
      <c r="Q405" s="61"/>
      <c r="R405" s="61">
        <v>546789</v>
      </c>
      <c r="S405" s="66" t="s">
        <v>843</v>
      </c>
    </row>
    <row r="406" spans="1:19">
      <c r="A406" s="61" t="s">
        <v>314</v>
      </c>
      <c r="B406" s="62">
        <v>46112</v>
      </c>
      <c r="C406" s="63" t="s">
        <v>2497</v>
      </c>
      <c r="D406" s="67"/>
      <c r="E406" s="67">
        <v>-89</v>
      </c>
      <c r="F406" s="61" t="str">
        <f t="shared" si="6"/>
        <v>借</v>
      </c>
      <c r="G406" s="64">
        <f>SUM(D$6:E406)</f>
        <v>32890229</v>
      </c>
      <c r="H406" s="61"/>
      <c r="I406" s="61" t="s">
        <v>2486</v>
      </c>
      <c r="J406" s="61" t="s">
        <v>1504</v>
      </c>
      <c r="K406" s="64">
        <v>0</v>
      </c>
      <c r="L406" s="61"/>
      <c r="M406" s="65" t="s">
        <v>224</v>
      </c>
      <c r="N406" s="61"/>
      <c r="O406" s="61"/>
      <c r="P406" s="61"/>
      <c r="Q406" s="61"/>
      <c r="R406" s="61">
        <v>547217</v>
      </c>
      <c r="S406" s="66" t="s">
        <v>237</v>
      </c>
    </row>
    <row r="407" spans="1:19">
      <c r="A407" s="61" t="s">
        <v>314</v>
      </c>
      <c r="B407" s="62">
        <v>46112</v>
      </c>
      <c r="C407" s="63" t="s">
        <v>2498</v>
      </c>
      <c r="D407" s="67">
        <v>1531</v>
      </c>
      <c r="E407" s="67"/>
      <c r="F407" s="61" t="str">
        <f t="shared" si="6"/>
        <v>借</v>
      </c>
      <c r="G407" s="64">
        <f>SUM(D$6:E407)</f>
        <v>32891760</v>
      </c>
      <c r="H407" s="61"/>
      <c r="I407" s="61" t="s">
        <v>2499</v>
      </c>
      <c r="J407" s="61" t="s">
        <v>1504</v>
      </c>
      <c r="K407" s="64">
        <v>7500</v>
      </c>
      <c r="L407" s="61"/>
      <c r="M407" s="65" t="s">
        <v>1512</v>
      </c>
      <c r="N407" s="61"/>
      <c r="O407" s="61"/>
      <c r="P407" s="61"/>
      <c r="Q407" s="61"/>
      <c r="R407" s="61">
        <v>546789</v>
      </c>
      <c r="S407" s="66" t="s">
        <v>843</v>
      </c>
    </row>
    <row r="408" spans="1:19">
      <c r="A408" s="61" t="s">
        <v>314</v>
      </c>
      <c r="B408" s="62">
        <v>46112</v>
      </c>
      <c r="C408" s="63" t="s">
        <v>2500</v>
      </c>
      <c r="D408" s="67">
        <v>627911</v>
      </c>
      <c r="E408" s="67"/>
      <c r="F408" s="61" t="str">
        <f t="shared" si="6"/>
        <v>借</v>
      </c>
      <c r="G408" s="64">
        <f>SUM(D$6:E408)</f>
        <v>33519671</v>
      </c>
      <c r="H408" s="61"/>
      <c r="I408" s="61" t="s">
        <v>2501</v>
      </c>
      <c r="J408" s="61" t="s">
        <v>338</v>
      </c>
      <c r="K408" s="64">
        <v>29479415</v>
      </c>
      <c r="L408" s="61"/>
      <c r="M408" s="65" t="s">
        <v>224</v>
      </c>
      <c r="N408" s="61"/>
      <c r="O408" s="61"/>
      <c r="P408" s="61"/>
      <c r="Q408" s="61"/>
      <c r="R408" s="61">
        <v>546667</v>
      </c>
      <c r="S408" s="66" t="s">
        <v>237</v>
      </c>
    </row>
    <row r="409" spans="1:19">
      <c r="A409" s="61" t="s">
        <v>314</v>
      </c>
      <c r="B409" s="62">
        <v>46112</v>
      </c>
      <c r="C409" s="63" t="s">
        <v>2502</v>
      </c>
      <c r="D409" s="67"/>
      <c r="E409" s="67">
        <v>-148771</v>
      </c>
      <c r="F409" s="61" t="str">
        <f t="shared" si="6"/>
        <v>借</v>
      </c>
      <c r="G409" s="64">
        <f>SUM(D$6:E409)</f>
        <v>33370900</v>
      </c>
      <c r="H409" s="61"/>
      <c r="I409" s="61" t="s">
        <v>2486</v>
      </c>
      <c r="J409" s="61" t="s">
        <v>338</v>
      </c>
      <c r="K409" s="64">
        <v>0</v>
      </c>
      <c r="L409" s="61"/>
      <c r="M409" s="65" t="s">
        <v>224</v>
      </c>
      <c r="N409" s="61"/>
      <c r="O409" s="61"/>
      <c r="P409" s="61"/>
      <c r="Q409" s="61"/>
      <c r="R409" s="61">
        <v>547217</v>
      </c>
      <c r="S409" s="66" t="s">
        <v>237</v>
      </c>
    </row>
    <row r="410" spans="1:19">
      <c r="A410" s="61" t="s">
        <v>314</v>
      </c>
      <c r="B410" s="62">
        <v>46112</v>
      </c>
      <c r="C410" s="63" t="s">
        <v>2503</v>
      </c>
      <c r="D410" s="67"/>
      <c r="E410" s="67">
        <v>-6031</v>
      </c>
      <c r="F410" s="61" t="str">
        <f t="shared" si="6"/>
        <v>借</v>
      </c>
      <c r="G410" s="64">
        <f>SUM(D$6:E410)</f>
        <v>33364869</v>
      </c>
      <c r="H410" s="61"/>
      <c r="I410" s="61" t="s">
        <v>2486</v>
      </c>
      <c r="J410" s="61" t="s">
        <v>2423</v>
      </c>
      <c r="K410" s="64">
        <v>0</v>
      </c>
      <c r="L410" s="61"/>
      <c r="M410" s="65" t="s">
        <v>224</v>
      </c>
      <c r="N410" s="61"/>
      <c r="O410" s="61"/>
      <c r="P410" s="61"/>
      <c r="Q410" s="61"/>
      <c r="R410" s="61">
        <v>547217</v>
      </c>
      <c r="S410" s="66" t="s">
        <v>237</v>
      </c>
    </row>
    <row r="411" spans="1:19">
      <c r="A411" s="61" t="s">
        <v>314</v>
      </c>
      <c r="B411" s="62">
        <v>46112</v>
      </c>
      <c r="C411" s="63" t="s">
        <v>2504</v>
      </c>
      <c r="D411" s="67"/>
      <c r="E411" s="67">
        <v>-117</v>
      </c>
      <c r="F411" s="61" t="str">
        <f t="shared" si="6"/>
        <v>借</v>
      </c>
      <c r="G411" s="64">
        <f>SUM(D$6:E411)</f>
        <v>33364752</v>
      </c>
      <c r="H411" s="61"/>
      <c r="I411" s="61" t="s">
        <v>2486</v>
      </c>
      <c r="J411" s="61" t="s">
        <v>1841</v>
      </c>
      <c r="K411" s="64">
        <v>0</v>
      </c>
      <c r="L411" s="61"/>
      <c r="M411" s="65" t="s">
        <v>224</v>
      </c>
      <c r="N411" s="61"/>
      <c r="O411" s="61"/>
      <c r="P411" s="61"/>
      <c r="Q411" s="61"/>
      <c r="R411" s="61">
        <v>547217</v>
      </c>
      <c r="S411" s="66" t="s">
        <v>237</v>
      </c>
    </row>
    <row r="412" spans="1:19">
      <c r="A412" s="61" t="s">
        <v>314</v>
      </c>
      <c r="B412" s="62">
        <v>46112</v>
      </c>
      <c r="C412" s="63" t="s">
        <v>2505</v>
      </c>
      <c r="D412" s="67">
        <v>283278</v>
      </c>
      <c r="E412" s="67"/>
      <c r="F412" s="61" t="str">
        <f t="shared" si="6"/>
        <v>借</v>
      </c>
      <c r="G412" s="64">
        <f>SUM(D$6:E412)</f>
        <v>33648030</v>
      </c>
      <c r="H412" s="61"/>
      <c r="I412" s="61" t="s">
        <v>2506</v>
      </c>
      <c r="J412" s="61" t="s">
        <v>114</v>
      </c>
      <c r="K412" s="64">
        <v>283278</v>
      </c>
      <c r="L412" s="61"/>
      <c r="M412" s="65" t="s">
        <v>224</v>
      </c>
      <c r="N412" s="61"/>
      <c r="O412" s="61"/>
      <c r="P412" s="61"/>
      <c r="Q412" s="61"/>
      <c r="R412" s="61">
        <v>546797</v>
      </c>
      <c r="S412" s="66" t="s">
        <v>843</v>
      </c>
    </row>
    <row r="413" spans="1:19">
      <c r="A413" s="61" t="s">
        <v>314</v>
      </c>
      <c r="B413" s="62">
        <v>46112</v>
      </c>
      <c r="C413" s="63" t="s">
        <v>2507</v>
      </c>
      <c r="D413" s="67">
        <v>1073834</v>
      </c>
      <c r="E413" s="67"/>
      <c r="F413" s="61" t="str">
        <f t="shared" si="6"/>
        <v>借</v>
      </c>
      <c r="G413" s="64">
        <f>SUM(D$6:E413)</f>
        <v>34721864</v>
      </c>
      <c r="H413" s="61"/>
      <c r="I413" s="61" t="s">
        <v>2508</v>
      </c>
      <c r="J413" s="61" t="s">
        <v>114</v>
      </c>
      <c r="K413" s="64">
        <v>1073834</v>
      </c>
      <c r="L413" s="61"/>
      <c r="M413" s="65" t="s">
        <v>224</v>
      </c>
      <c r="N413" s="61"/>
      <c r="O413" s="61"/>
      <c r="P413" s="61"/>
      <c r="Q413" s="61"/>
      <c r="R413" s="61">
        <v>544925</v>
      </c>
      <c r="S413" s="66" t="s">
        <v>1478</v>
      </c>
    </row>
    <row r="414" spans="1:19">
      <c r="A414" s="61" t="s">
        <v>314</v>
      </c>
      <c r="B414" s="62">
        <v>46112</v>
      </c>
      <c r="C414" s="63" t="s">
        <v>2509</v>
      </c>
      <c r="D414" s="67">
        <v>95830</v>
      </c>
      <c r="E414" s="67"/>
      <c r="F414" s="61" t="str">
        <f t="shared" si="6"/>
        <v>借</v>
      </c>
      <c r="G414" s="64">
        <f>SUM(D$6:E414)</f>
        <v>34817694</v>
      </c>
      <c r="H414" s="61"/>
      <c r="I414" s="61" t="s">
        <v>2510</v>
      </c>
      <c r="J414" s="61" t="s">
        <v>114</v>
      </c>
      <c r="K414" s="64">
        <v>95830</v>
      </c>
      <c r="L414" s="61"/>
      <c r="M414" s="65" t="s">
        <v>224</v>
      </c>
      <c r="N414" s="61"/>
      <c r="O414" s="61"/>
      <c r="P414" s="61"/>
      <c r="Q414" s="61"/>
      <c r="R414" s="61">
        <v>546820</v>
      </c>
      <c r="S414" s="66" t="s">
        <v>843</v>
      </c>
    </row>
    <row r="415" spans="1:19">
      <c r="A415" s="61" t="s">
        <v>314</v>
      </c>
      <c r="B415" s="62">
        <v>46112</v>
      </c>
      <c r="C415" s="63" t="s">
        <v>2511</v>
      </c>
      <c r="D415" s="67">
        <v>17600</v>
      </c>
      <c r="E415" s="67"/>
      <c r="F415" s="61" t="str">
        <f t="shared" si="6"/>
        <v>借</v>
      </c>
      <c r="G415" s="64">
        <f>SUM(D$6:E415)</f>
        <v>34835294</v>
      </c>
      <c r="H415" s="61"/>
      <c r="I415" s="61" t="s">
        <v>2512</v>
      </c>
      <c r="J415" s="61" t="s">
        <v>114</v>
      </c>
      <c r="K415" s="64">
        <v>17600</v>
      </c>
      <c r="L415" s="61"/>
      <c r="M415" s="65" t="s">
        <v>1512</v>
      </c>
      <c r="N415" s="61"/>
      <c r="O415" s="61"/>
      <c r="P415" s="61"/>
      <c r="Q415" s="61"/>
      <c r="R415" s="61">
        <v>546789</v>
      </c>
      <c r="S415" s="66" t="s">
        <v>843</v>
      </c>
    </row>
    <row r="416" spans="1:19">
      <c r="A416" s="61" t="s">
        <v>314</v>
      </c>
      <c r="B416" s="62">
        <v>46112</v>
      </c>
      <c r="C416" s="63" t="s">
        <v>2513</v>
      </c>
      <c r="D416" s="67">
        <v>3400</v>
      </c>
      <c r="E416" s="67"/>
      <c r="F416" s="61" t="str">
        <f t="shared" si="6"/>
        <v>借</v>
      </c>
      <c r="G416" s="64">
        <f>SUM(D$6:E416)</f>
        <v>34838694</v>
      </c>
      <c r="H416" s="61"/>
      <c r="I416" s="61" t="s">
        <v>2514</v>
      </c>
      <c r="J416" s="61" t="s">
        <v>114</v>
      </c>
      <c r="K416" s="64">
        <v>3400</v>
      </c>
      <c r="L416" s="61"/>
      <c r="M416" s="65" t="s">
        <v>1514</v>
      </c>
      <c r="N416" s="61"/>
      <c r="O416" s="61"/>
      <c r="P416" s="61"/>
      <c r="Q416" s="61"/>
      <c r="R416" s="61">
        <v>546789</v>
      </c>
      <c r="S416" s="66" t="s">
        <v>843</v>
      </c>
    </row>
    <row r="417" spans="1:19">
      <c r="A417" s="61" t="s">
        <v>314</v>
      </c>
      <c r="B417" s="62">
        <v>46112</v>
      </c>
      <c r="C417" s="63" t="s">
        <v>2515</v>
      </c>
      <c r="D417" s="67">
        <v>1277</v>
      </c>
      <c r="E417" s="67"/>
      <c r="F417" s="61" t="str">
        <f t="shared" si="6"/>
        <v>借</v>
      </c>
      <c r="G417" s="64">
        <f>SUM(D$6:E417)</f>
        <v>34839971</v>
      </c>
      <c r="H417" s="61"/>
      <c r="I417" s="61" t="s">
        <v>2512</v>
      </c>
      <c r="J417" s="61" t="s">
        <v>236</v>
      </c>
      <c r="K417" s="64">
        <v>40</v>
      </c>
      <c r="L417" s="61"/>
      <c r="M417" s="65" t="s">
        <v>1512</v>
      </c>
      <c r="N417" s="61"/>
      <c r="O417" s="61"/>
      <c r="P417" s="61"/>
      <c r="Q417" s="61"/>
      <c r="R417" s="61">
        <v>546789</v>
      </c>
      <c r="S417" s="66" t="s">
        <v>843</v>
      </c>
    </row>
    <row r="418" spans="1:19">
      <c r="A418" s="61" t="s">
        <v>314</v>
      </c>
      <c r="B418" s="62">
        <v>46112</v>
      </c>
      <c r="C418" s="63" t="s">
        <v>2516</v>
      </c>
      <c r="D418" s="67">
        <v>2093</v>
      </c>
      <c r="E418" s="67"/>
      <c r="F418" s="61" t="str">
        <f t="shared" si="6"/>
        <v>借</v>
      </c>
      <c r="G418" s="64">
        <f>SUM(D$6:E418)</f>
        <v>34842064</v>
      </c>
      <c r="H418" s="61"/>
      <c r="I418" s="61" t="s">
        <v>2517</v>
      </c>
      <c r="J418" s="61" t="s">
        <v>236</v>
      </c>
      <c r="K418" s="64">
        <v>65.599999999999994</v>
      </c>
      <c r="L418" s="61"/>
      <c r="M418" s="65" t="s">
        <v>1515</v>
      </c>
      <c r="N418" s="61"/>
      <c r="O418" s="61"/>
      <c r="P418" s="61"/>
      <c r="Q418" s="61"/>
      <c r="R418" s="61">
        <v>546789</v>
      </c>
      <c r="S418" s="66" t="s">
        <v>843</v>
      </c>
    </row>
    <row r="419" spans="1:19">
      <c r="A419" s="61" t="s">
        <v>314</v>
      </c>
      <c r="B419" s="62">
        <v>46112</v>
      </c>
      <c r="C419" s="63" t="s">
        <v>2518</v>
      </c>
      <c r="D419" s="67">
        <v>120519</v>
      </c>
      <c r="E419" s="67"/>
      <c r="F419" s="61" t="str">
        <f t="shared" si="6"/>
        <v>借</v>
      </c>
      <c r="G419" s="64">
        <f>SUM(D$6:E419)</f>
        <v>34962583</v>
      </c>
      <c r="H419" s="61"/>
      <c r="I419" s="61" t="s">
        <v>2519</v>
      </c>
      <c r="J419" s="61" t="s">
        <v>236</v>
      </c>
      <c r="K419" s="64">
        <v>3778.68</v>
      </c>
      <c r="L419" s="61"/>
      <c r="M419" s="65" t="s">
        <v>1515</v>
      </c>
      <c r="N419" s="61"/>
      <c r="O419" s="61"/>
      <c r="P419" s="61"/>
      <c r="Q419" s="61"/>
      <c r="R419" s="61">
        <v>546789</v>
      </c>
      <c r="S419" s="66" t="s">
        <v>843</v>
      </c>
    </row>
    <row r="420" spans="1:19">
      <c r="A420" s="61" t="s">
        <v>314</v>
      </c>
      <c r="B420" s="62">
        <v>46112</v>
      </c>
      <c r="C420" s="63" t="s">
        <v>2520</v>
      </c>
      <c r="D420" s="67">
        <v>3457</v>
      </c>
      <c r="E420" s="67"/>
      <c r="F420" s="61" t="str">
        <f t="shared" si="6"/>
        <v>借</v>
      </c>
      <c r="G420" s="64">
        <f>SUM(D$6:E420)</f>
        <v>34966040</v>
      </c>
      <c r="H420" s="61"/>
      <c r="I420" s="61" t="s">
        <v>2521</v>
      </c>
      <c r="J420" s="61" t="s">
        <v>236</v>
      </c>
      <c r="K420" s="64">
        <v>0</v>
      </c>
      <c r="L420" s="61"/>
      <c r="M420" s="65" t="s">
        <v>224</v>
      </c>
      <c r="N420" s="61"/>
      <c r="O420" s="61"/>
      <c r="P420" s="61"/>
      <c r="Q420" s="61"/>
      <c r="R420" s="61">
        <v>547217</v>
      </c>
      <c r="S420" s="66" t="s">
        <v>237</v>
      </c>
    </row>
    <row r="421" spans="1:19">
      <c r="A421" s="61" t="s">
        <v>314</v>
      </c>
      <c r="B421" s="62">
        <v>46112</v>
      </c>
      <c r="C421" s="63" t="s">
        <v>2522</v>
      </c>
      <c r="D421" s="67">
        <v>11140</v>
      </c>
      <c r="E421" s="67"/>
      <c r="F421" s="61" t="str">
        <f t="shared" si="6"/>
        <v>借</v>
      </c>
      <c r="G421" s="64">
        <f>SUM(D$6:E421)</f>
        <v>34977180</v>
      </c>
      <c r="H421" s="61"/>
      <c r="I421" s="61" t="s">
        <v>2499</v>
      </c>
      <c r="J421" s="61" t="s">
        <v>236</v>
      </c>
      <c r="K421" s="64">
        <v>350.1</v>
      </c>
      <c r="L421" s="61"/>
      <c r="M421" s="65" t="s">
        <v>1512</v>
      </c>
      <c r="N421" s="61"/>
      <c r="O421" s="61"/>
      <c r="P421" s="61"/>
      <c r="Q421" s="61"/>
      <c r="R421" s="61">
        <v>546789</v>
      </c>
      <c r="S421" s="66" t="s">
        <v>843</v>
      </c>
    </row>
    <row r="422" spans="1:19">
      <c r="A422" s="61" t="s">
        <v>314</v>
      </c>
      <c r="B422" s="62">
        <v>46112</v>
      </c>
      <c r="C422" s="63" t="s">
        <v>2523</v>
      </c>
      <c r="D422" s="67">
        <v>35538</v>
      </c>
      <c r="E422" s="67"/>
      <c r="F422" s="61" t="str">
        <f t="shared" si="6"/>
        <v>借</v>
      </c>
      <c r="G422" s="64">
        <f>SUM(D$6:E422)</f>
        <v>35012718</v>
      </c>
      <c r="H422" s="61"/>
      <c r="I422" s="61" t="s">
        <v>2524</v>
      </c>
      <c r="J422" s="61" t="s">
        <v>236</v>
      </c>
      <c r="K422" s="64">
        <v>1108.8900000000001</v>
      </c>
      <c r="L422" s="61"/>
      <c r="M422" s="65" t="s">
        <v>1518</v>
      </c>
      <c r="N422" s="61"/>
      <c r="O422" s="61"/>
      <c r="P422" s="61"/>
      <c r="Q422" s="61"/>
      <c r="R422" s="61">
        <v>546789</v>
      </c>
      <c r="S422" s="66" t="s">
        <v>843</v>
      </c>
    </row>
    <row r="423" spans="1:19">
      <c r="A423" s="61" t="s">
        <v>314</v>
      </c>
      <c r="B423" s="62">
        <v>46112</v>
      </c>
      <c r="C423" s="63" t="s">
        <v>2525</v>
      </c>
      <c r="D423" s="67">
        <v>56410</v>
      </c>
      <c r="E423" s="67"/>
      <c r="F423" s="61" t="str">
        <f t="shared" si="6"/>
        <v>借</v>
      </c>
      <c r="G423" s="64">
        <f>SUM(D$6:E423)</f>
        <v>35069128</v>
      </c>
      <c r="H423" s="61"/>
      <c r="I423" s="61" t="s">
        <v>2526</v>
      </c>
      <c r="J423" s="61" t="s">
        <v>236</v>
      </c>
      <c r="K423" s="64">
        <v>1764.35</v>
      </c>
      <c r="L423" s="61"/>
      <c r="M423" s="65" t="s">
        <v>1516</v>
      </c>
      <c r="N423" s="61"/>
      <c r="O423" s="61"/>
      <c r="P423" s="61"/>
      <c r="Q423" s="61"/>
      <c r="R423" s="61">
        <v>546789</v>
      </c>
      <c r="S423" s="66" t="s">
        <v>843</v>
      </c>
    </row>
    <row r="424" spans="1:19">
      <c r="A424" s="61" t="s">
        <v>314</v>
      </c>
      <c r="B424" s="62">
        <v>46112</v>
      </c>
      <c r="C424" s="63" t="s">
        <v>2527</v>
      </c>
      <c r="D424" s="67">
        <v>120026</v>
      </c>
      <c r="E424" s="67"/>
      <c r="F424" s="61" t="str">
        <f t="shared" si="6"/>
        <v>借</v>
      </c>
      <c r="G424" s="64">
        <f>SUM(D$6:E424)</f>
        <v>35189154</v>
      </c>
      <c r="H424" s="61"/>
      <c r="I424" s="61" t="s">
        <v>2528</v>
      </c>
      <c r="J424" s="61" t="s">
        <v>236</v>
      </c>
      <c r="K424" s="64">
        <v>3751.7</v>
      </c>
      <c r="L424" s="61"/>
      <c r="M424" s="65" t="s">
        <v>1517</v>
      </c>
      <c r="N424" s="61"/>
      <c r="O424" s="61"/>
      <c r="P424" s="61"/>
      <c r="Q424" s="61"/>
      <c r="R424" s="61">
        <v>546789</v>
      </c>
      <c r="S424" s="66" t="s">
        <v>843</v>
      </c>
    </row>
    <row r="425" spans="1:19">
      <c r="A425" s="61" t="s">
        <v>314</v>
      </c>
      <c r="B425" s="62">
        <v>46112</v>
      </c>
      <c r="C425" s="63" t="s">
        <v>2529</v>
      </c>
      <c r="D425" s="67">
        <v>28740</v>
      </c>
      <c r="E425" s="67"/>
      <c r="F425" s="61" t="str">
        <f t="shared" si="6"/>
        <v>借</v>
      </c>
      <c r="G425" s="64">
        <f>SUM(D$6:E425)</f>
        <v>35217894</v>
      </c>
      <c r="H425" s="61"/>
      <c r="I425" s="61" t="s">
        <v>2530</v>
      </c>
      <c r="J425" s="61" t="s">
        <v>236</v>
      </c>
      <c r="K425" s="64">
        <v>900</v>
      </c>
      <c r="L425" s="61"/>
      <c r="M425" s="65" t="s">
        <v>1515</v>
      </c>
      <c r="N425" s="61"/>
      <c r="O425" s="61"/>
      <c r="P425" s="61"/>
      <c r="Q425" s="61"/>
      <c r="R425" s="61">
        <v>546789</v>
      </c>
      <c r="S425" s="66" t="s">
        <v>843</v>
      </c>
    </row>
    <row r="426" spans="1:19">
      <c r="A426" s="61" t="s">
        <v>314</v>
      </c>
      <c r="B426" s="62">
        <v>46112</v>
      </c>
      <c r="C426" s="63" t="s">
        <v>2531</v>
      </c>
      <c r="D426" s="67"/>
      <c r="E426" s="67">
        <v>-143</v>
      </c>
      <c r="F426" s="61" t="str">
        <f t="shared" si="6"/>
        <v>借</v>
      </c>
      <c r="G426" s="64">
        <f>SUM(D$6:E426)</f>
        <v>35217751</v>
      </c>
      <c r="H426" s="61"/>
      <c r="I426" s="61" t="s">
        <v>2486</v>
      </c>
      <c r="J426" s="61" t="s">
        <v>1519</v>
      </c>
      <c r="K426" s="64">
        <v>0</v>
      </c>
      <c r="L426" s="61"/>
      <c r="M426" s="65" t="s">
        <v>224</v>
      </c>
      <c r="N426" s="61"/>
      <c r="O426" s="61"/>
      <c r="P426" s="61"/>
      <c r="Q426" s="61"/>
      <c r="R426" s="61">
        <v>547217</v>
      </c>
      <c r="S426" s="66" t="s">
        <v>237</v>
      </c>
    </row>
    <row r="427" spans="1:19">
      <c r="A427" s="61" t="s">
        <v>314</v>
      </c>
      <c r="B427" s="62">
        <v>46112</v>
      </c>
      <c r="C427" s="63" t="s">
        <v>2532</v>
      </c>
      <c r="D427" s="67">
        <v>1518</v>
      </c>
      <c r="E427" s="67"/>
      <c r="F427" s="61" t="str">
        <f t="shared" si="6"/>
        <v>借</v>
      </c>
      <c r="G427" s="64">
        <f>SUM(D$6:E427)</f>
        <v>35219269</v>
      </c>
      <c r="H427" s="61"/>
      <c r="I427" s="61" t="s">
        <v>2519</v>
      </c>
      <c r="J427" s="61" t="s">
        <v>1519</v>
      </c>
      <c r="K427" s="64">
        <v>785.83</v>
      </c>
      <c r="L427" s="61"/>
      <c r="M427" s="65" t="s">
        <v>1515</v>
      </c>
      <c r="N427" s="61"/>
      <c r="O427" s="61"/>
      <c r="P427" s="61"/>
      <c r="Q427" s="61"/>
      <c r="R427" s="61">
        <v>546789</v>
      </c>
      <c r="S427" s="66" t="s">
        <v>843</v>
      </c>
    </row>
    <row r="428" spans="1:19">
      <c r="A428" s="61" t="s">
        <v>314</v>
      </c>
      <c r="B428" s="62">
        <v>46112</v>
      </c>
      <c r="C428" s="63" t="s">
        <v>2533</v>
      </c>
      <c r="D428" s="67">
        <v>1285</v>
      </c>
      <c r="E428" s="67"/>
      <c r="F428" s="61" t="str">
        <f t="shared" si="6"/>
        <v>借</v>
      </c>
      <c r="G428" s="64">
        <f>SUM(D$6:E428)</f>
        <v>35220554</v>
      </c>
      <c r="H428" s="61"/>
      <c r="I428" s="61" t="s">
        <v>2496</v>
      </c>
      <c r="J428" s="61" t="s">
        <v>1519</v>
      </c>
      <c r="K428" s="64">
        <v>637.20000000000005</v>
      </c>
      <c r="L428" s="61"/>
      <c r="M428" s="65" t="s">
        <v>1513</v>
      </c>
      <c r="N428" s="61"/>
      <c r="O428" s="61"/>
      <c r="P428" s="61"/>
      <c r="Q428" s="61"/>
      <c r="R428" s="61">
        <v>546789</v>
      </c>
      <c r="S428" s="66" t="s">
        <v>843</v>
      </c>
    </row>
    <row r="429" spans="1:19">
      <c r="A429" s="61" t="s">
        <v>314</v>
      </c>
      <c r="B429" s="62">
        <v>46113</v>
      </c>
      <c r="C429" s="63" t="s">
        <v>2534</v>
      </c>
      <c r="D429" s="67">
        <v>40</v>
      </c>
      <c r="E429" s="67"/>
      <c r="F429" s="61" t="str">
        <f t="shared" si="6"/>
        <v>借</v>
      </c>
      <c r="G429" s="64">
        <f>SUM(D$6:E429)</f>
        <v>35220594</v>
      </c>
      <c r="H429" s="61"/>
      <c r="I429" s="61" t="s">
        <v>2535</v>
      </c>
      <c r="J429" s="61" t="s">
        <v>2001</v>
      </c>
      <c r="K429" s="64">
        <v>0</v>
      </c>
      <c r="L429" s="61"/>
      <c r="M429" s="65" t="s">
        <v>224</v>
      </c>
      <c r="N429" s="61"/>
      <c r="O429" s="61"/>
      <c r="P429" s="61"/>
      <c r="Q429" s="61"/>
      <c r="R429" s="61">
        <v>548633</v>
      </c>
      <c r="S429" s="66" t="s">
        <v>237</v>
      </c>
    </row>
    <row r="430" spans="1:19">
      <c r="A430" s="61" t="s">
        <v>314</v>
      </c>
      <c r="B430" s="62">
        <v>46113</v>
      </c>
      <c r="C430" s="63" t="s">
        <v>2536</v>
      </c>
      <c r="D430" s="67">
        <v>402</v>
      </c>
      <c r="E430" s="67"/>
      <c r="F430" s="61" t="str">
        <f t="shared" si="6"/>
        <v>借</v>
      </c>
      <c r="G430" s="64">
        <f>SUM(D$6:E430)</f>
        <v>35220996</v>
      </c>
      <c r="H430" s="61"/>
      <c r="I430" s="61" t="s">
        <v>2535</v>
      </c>
      <c r="J430" s="61" t="s">
        <v>317</v>
      </c>
      <c r="K430" s="64">
        <v>0</v>
      </c>
      <c r="L430" s="61"/>
      <c r="M430" s="65" t="s">
        <v>224</v>
      </c>
      <c r="N430" s="61"/>
      <c r="O430" s="61"/>
      <c r="P430" s="61"/>
      <c r="Q430" s="61"/>
      <c r="R430" s="61">
        <v>548633</v>
      </c>
      <c r="S430" s="66" t="s">
        <v>237</v>
      </c>
    </row>
    <row r="431" spans="1:19">
      <c r="A431" s="61" t="s">
        <v>314</v>
      </c>
      <c r="B431" s="62">
        <v>46113</v>
      </c>
      <c r="C431" s="63" t="s">
        <v>2537</v>
      </c>
      <c r="D431" s="67">
        <v>2288</v>
      </c>
      <c r="E431" s="67"/>
      <c r="F431" s="61" t="str">
        <f t="shared" si="6"/>
        <v>借</v>
      </c>
      <c r="G431" s="64">
        <f>SUM(D$6:E431)</f>
        <v>35223284</v>
      </c>
      <c r="H431" s="61"/>
      <c r="I431" s="61" t="s">
        <v>2538</v>
      </c>
      <c r="J431" s="61" t="s">
        <v>317</v>
      </c>
      <c r="K431" s="64">
        <v>490.99</v>
      </c>
      <c r="L431" s="61"/>
      <c r="M431" s="65" t="s">
        <v>224</v>
      </c>
      <c r="N431" s="61"/>
      <c r="O431" s="61"/>
      <c r="P431" s="61"/>
      <c r="Q431" s="61"/>
      <c r="R431" s="61">
        <v>547437</v>
      </c>
      <c r="S431" s="66" t="s">
        <v>237</v>
      </c>
    </row>
    <row r="432" spans="1:19">
      <c r="A432" s="61" t="s">
        <v>314</v>
      </c>
      <c r="B432" s="62">
        <v>46113</v>
      </c>
      <c r="C432" s="63" t="s">
        <v>2539</v>
      </c>
      <c r="D432" s="67">
        <v>9309</v>
      </c>
      <c r="E432" s="67"/>
      <c r="F432" s="61" t="str">
        <f t="shared" si="6"/>
        <v>借</v>
      </c>
      <c r="G432" s="64">
        <f>SUM(D$6:E432)</f>
        <v>35232593</v>
      </c>
      <c r="H432" s="61"/>
      <c r="I432" s="61" t="s">
        <v>2535</v>
      </c>
      <c r="J432" s="61" t="s">
        <v>337</v>
      </c>
      <c r="K432" s="64">
        <v>0</v>
      </c>
      <c r="L432" s="61"/>
      <c r="M432" s="65" t="s">
        <v>224</v>
      </c>
      <c r="N432" s="61"/>
      <c r="O432" s="61"/>
      <c r="P432" s="61"/>
      <c r="Q432" s="61"/>
      <c r="R432" s="61">
        <v>548633</v>
      </c>
      <c r="S432" s="66" t="s">
        <v>237</v>
      </c>
    </row>
    <row r="433" spans="1:19">
      <c r="A433" s="61" t="s">
        <v>314</v>
      </c>
      <c r="B433" s="62">
        <v>46113</v>
      </c>
      <c r="C433" s="63" t="s">
        <v>2540</v>
      </c>
      <c r="D433" s="67">
        <v>6157</v>
      </c>
      <c r="E433" s="67"/>
      <c r="F433" s="61" t="str">
        <f t="shared" si="6"/>
        <v>借</v>
      </c>
      <c r="G433" s="64">
        <f>SUM(D$6:E433)</f>
        <v>35238750</v>
      </c>
      <c r="H433" s="61"/>
      <c r="I433" s="61" t="s">
        <v>2535</v>
      </c>
      <c r="J433" s="61" t="s">
        <v>1477</v>
      </c>
      <c r="K433" s="64">
        <v>0</v>
      </c>
      <c r="L433" s="61"/>
      <c r="M433" s="65" t="s">
        <v>224</v>
      </c>
      <c r="N433" s="61"/>
      <c r="O433" s="61"/>
      <c r="P433" s="61"/>
      <c r="Q433" s="61"/>
      <c r="R433" s="61">
        <v>548633</v>
      </c>
      <c r="S433" s="66" t="s">
        <v>237</v>
      </c>
    </row>
    <row r="434" spans="1:19">
      <c r="A434" s="61" t="s">
        <v>314</v>
      </c>
      <c r="B434" s="62">
        <v>46113</v>
      </c>
      <c r="C434" s="63" t="s">
        <v>2541</v>
      </c>
      <c r="D434" s="67">
        <v>50</v>
      </c>
      <c r="E434" s="67"/>
      <c r="F434" s="61" t="str">
        <f t="shared" si="6"/>
        <v>借</v>
      </c>
      <c r="G434" s="64">
        <f>SUM(D$6:E434)</f>
        <v>35238800</v>
      </c>
      <c r="H434" s="61"/>
      <c r="I434" s="61" t="s">
        <v>2535</v>
      </c>
      <c r="J434" s="61" t="s">
        <v>1520</v>
      </c>
      <c r="K434" s="64">
        <v>0</v>
      </c>
      <c r="L434" s="61"/>
      <c r="M434" s="65" t="s">
        <v>224</v>
      </c>
      <c r="N434" s="61"/>
      <c r="O434" s="61"/>
      <c r="P434" s="61"/>
      <c r="Q434" s="61"/>
      <c r="R434" s="61">
        <v>548633</v>
      </c>
      <c r="S434" s="66" t="s">
        <v>237</v>
      </c>
    </row>
    <row r="435" spans="1:19">
      <c r="A435" s="61" t="s">
        <v>314</v>
      </c>
      <c r="B435" s="62">
        <v>46113</v>
      </c>
      <c r="C435" s="63" t="s">
        <v>2542</v>
      </c>
      <c r="D435" s="67">
        <v>89</v>
      </c>
      <c r="E435" s="67"/>
      <c r="F435" s="61" t="str">
        <f t="shared" si="6"/>
        <v>借</v>
      </c>
      <c r="G435" s="64">
        <f>SUM(D$6:E435)</f>
        <v>35238889</v>
      </c>
      <c r="H435" s="61"/>
      <c r="I435" s="61" t="s">
        <v>2535</v>
      </c>
      <c r="J435" s="61" t="s">
        <v>1504</v>
      </c>
      <c r="K435" s="64">
        <v>0</v>
      </c>
      <c r="L435" s="61"/>
      <c r="M435" s="65" t="s">
        <v>224</v>
      </c>
      <c r="N435" s="61"/>
      <c r="O435" s="61"/>
      <c r="P435" s="61"/>
      <c r="Q435" s="61"/>
      <c r="R435" s="61">
        <v>548633</v>
      </c>
      <c r="S435" s="66" t="s">
        <v>237</v>
      </c>
    </row>
    <row r="436" spans="1:19">
      <c r="A436" s="61" t="s">
        <v>314</v>
      </c>
      <c r="B436" s="62">
        <v>46113</v>
      </c>
      <c r="C436" s="63" t="s">
        <v>2543</v>
      </c>
      <c r="D436" s="67">
        <v>148771</v>
      </c>
      <c r="E436" s="67"/>
      <c r="F436" s="61" t="str">
        <f t="shared" si="6"/>
        <v>借</v>
      </c>
      <c r="G436" s="64">
        <f>SUM(D$6:E436)</f>
        <v>35387660</v>
      </c>
      <c r="H436" s="61"/>
      <c r="I436" s="61" t="s">
        <v>2535</v>
      </c>
      <c r="J436" s="61" t="s">
        <v>338</v>
      </c>
      <c r="K436" s="64">
        <v>0</v>
      </c>
      <c r="L436" s="61"/>
      <c r="M436" s="65" t="s">
        <v>224</v>
      </c>
      <c r="N436" s="61"/>
      <c r="O436" s="61"/>
      <c r="P436" s="61"/>
      <c r="Q436" s="61"/>
      <c r="R436" s="61">
        <v>548633</v>
      </c>
      <c r="S436" s="66" t="s">
        <v>237</v>
      </c>
    </row>
    <row r="437" spans="1:19">
      <c r="A437" s="61" t="s">
        <v>314</v>
      </c>
      <c r="B437" s="62">
        <v>46113</v>
      </c>
      <c r="C437" s="63" t="s">
        <v>2544</v>
      </c>
      <c r="D437" s="67">
        <v>70659</v>
      </c>
      <c r="E437" s="67"/>
      <c r="F437" s="61" t="str">
        <f t="shared" si="6"/>
        <v>借</v>
      </c>
      <c r="G437" s="64">
        <f>SUM(D$6:E437)</f>
        <v>35458319</v>
      </c>
      <c r="H437" s="61"/>
      <c r="I437" s="61" t="s">
        <v>2545</v>
      </c>
      <c r="J437" s="61" t="s">
        <v>338</v>
      </c>
      <c r="K437" s="64">
        <v>3332963</v>
      </c>
      <c r="L437" s="61"/>
      <c r="M437" s="65" t="s">
        <v>224</v>
      </c>
      <c r="N437" s="61"/>
      <c r="O437" s="61"/>
      <c r="P437" s="61"/>
      <c r="Q437" s="61"/>
      <c r="R437" s="61">
        <v>547427</v>
      </c>
      <c r="S437" s="66" t="s">
        <v>237</v>
      </c>
    </row>
    <row r="438" spans="1:19">
      <c r="A438" s="61" t="s">
        <v>314</v>
      </c>
      <c r="B438" s="62">
        <v>46113</v>
      </c>
      <c r="C438" s="63" t="s">
        <v>2546</v>
      </c>
      <c r="D438" s="67">
        <v>6031</v>
      </c>
      <c r="E438" s="67"/>
      <c r="F438" s="61" t="str">
        <f t="shared" si="6"/>
        <v>借</v>
      </c>
      <c r="G438" s="64">
        <f>SUM(D$6:E438)</f>
        <v>35464350</v>
      </c>
      <c r="H438" s="61"/>
      <c r="I438" s="61" t="s">
        <v>2535</v>
      </c>
      <c r="J438" s="61" t="s">
        <v>2423</v>
      </c>
      <c r="K438" s="64">
        <v>0</v>
      </c>
      <c r="L438" s="61"/>
      <c r="M438" s="65" t="s">
        <v>224</v>
      </c>
      <c r="N438" s="61"/>
      <c r="O438" s="61"/>
      <c r="P438" s="61"/>
      <c r="Q438" s="61"/>
      <c r="R438" s="61">
        <v>548633</v>
      </c>
      <c r="S438" s="66" t="s">
        <v>237</v>
      </c>
    </row>
    <row r="439" spans="1:19">
      <c r="A439" s="61" t="s">
        <v>314</v>
      </c>
      <c r="B439" s="62">
        <v>46113</v>
      </c>
      <c r="C439" s="63" t="s">
        <v>2547</v>
      </c>
      <c r="D439" s="67">
        <v>117</v>
      </c>
      <c r="E439" s="67"/>
      <c r="F439" s="61" t="str">
        <f t="shared" si="6"/>
        <v>借</v>
      </c>
      <c r="G439" s="64">
        <f>SUM(D$6:E439)</f>
        <v>35464467</v>
      </c>
      <c r="H439" s="61"/>
      <c r="I439" s="61" t="s">
        <v>2535</v>
      </c>
      <c r="J439" s="61" t="s">
        <v>1841</v>
      </c>
      <c r="K439" s="64">
        <v>0</v>
      </c>
      <c r="L439" s="61"/>
      <c r="M439" s="65" t="s">
        <v>224</v>
      </c>
      <c r="N439" s="61"/>
      <c r="O439" s="61"/>
      <c r="P439" s="61"/>
      <c r="Q439" s="61"/>
      <c r="R439" s="61">
        <v>548633</v>
      </c>
      <c r="S439" s="66" t="s">
        <v>237</v>
      </c>
    </row>
    <row r="440" spans="1:19">
      <c r="A440" s="61" t="s">
        <v>314</v>
      </c>
      <c r="B440" s="62">
        <v>46113</v>
      </c>
      <c r="C440" s="63" t="s">
        <v>2548</v>
      </c>
      <c r="D440" s="67"/>
      <c r="E440" s="67">
        <v>-3457</v>
      </c>
      <c r="F440" s="61" t="str">
        <f t="shared" si="6"/>
        <v>借</v>
      </c>
      <c r="G440" s="64">
        <f>SUM(D$6:E440)</f>
        <v>35461010</v>
      </c>
      <c r="H440" s="61"/>
      <c r="I440" s="61" t="s">
        <v>2549</v>
      </c>
      <c r="J440" s="61" t="s">
        <v>236</v>
      </c>
      <c r="K440" s="64">
        <v>0</v>
      </c>
      <c r="L440" s="61"/>
      <c r="M440" s="65" t="s">
        <v>224</v>
      </c>
      <c r="N440" s="61"/>
      <c r="O440" s="61"/>
      <c r="P440" s="61"/>
      <c r="Q440" s="61"/>
      <c r="R440" s="61">
        <v>548633</v>
      </c>
      <c r="S440" s="66" t="s">
        <v>237</v>
      </c>
    </row>
    <row r="441" spans="1:19">
      <c r="A441" s="61" t="s">
        <v>314</v>
      </c>
      <c r="B441" s="62">
        <v>46113</v>
      </c>
      <c r="C441" s="63" t="s">
        <v>2550</v>
      </c>
      <c r="D441" s="67">
        <v>143</v>
      </c>
      <c r="E441" s="67"/>
      <c r="F441" s="61" t="str">
        <f t="shared" si="6"/>
        <v>借</v>
      </c>
      <c r="G441" s="64">
        <f>SUM(D$6:E441)</f>
        <v>35461153</v>
      </c>
      <c r="H441" s="61"/>
      <c r="I441" s="61" t="s">
        <v>2535</v>
      </c>
      <c r="J441" s="61" t="s">
        <v>1519</v>
      </c>
      <c r="K441" s="64">
        <v>0</v>
      </c>
      <c r="L441" s="61"/>
      <c r="M441" s="65" t="s">
        <v>224</v>
      </c>
      <c r="N441" s="61"/>
      <c r="O441" s="61"/>
      <c r="P441" s="61"/>
      <c r="Q441" s="61"/>
      <c r="R441" s="61">
        <v>548633</v>
      </c>
      <c r="S441" s="66" t="s">
        <v>237</v>
      </c>
    </row>
    <row r="442" spans="1:19">
      <c r="A442" s="61" t="s">
        <v>314</v>
      </c>
      <c r="B442" s="62">
        <v>46114</v>
      </c>
      <c r="C442" s="63" t="s">
        <v>2551</v>
      </c>
      <c r="D442" s="67">
        <v>767</v>
      </c>
      <c r="E442" s="67"/>
      <c r="F442" s="61" t="str">
        <f t="shared" si="6"/>
        <v>借</v>
      </c>
      <c r="G442" s="64">
        <f>SUM(D$6:E442)</f>
        <v>35461920</v>
      </c>
      <c r="H442" s="61"/>
      <c r="I442" s="61" t="s">
        <v>2552</v>
      </c>
      <c r="J442" s="61" t="s">
        <v>317</v>
      </c>
      <c r="K442" s="64">
        <v>164.02</v>
      </c>
      <c r="L442" s="61"/>
      <c r="M442" s="65" t="s">
        <v>224</v>
      </c>
      <c r="N442" s="61"/>
      <c r="O442" s="61"/>
      <c r="P442" s="61"/>
      <c r="Q442" s="61"/>
      <c r="R442" s="61">
        <v>547510</v>
      </c>
      <c r="S442" s="66" t="s">
        <v>237</v>
      </c>
    </row>
    <row r="443" spans="1:19">
      <c r="A443" s="61" t="s">
        <v>314</v>
      </c>
      <c r="B443" s="62">
        <v>46114</v>
      </c>
      <c r="C443" s="63" t="s">
        <v>2553</v>
      </c>
      <c r="D443" s="67">
        <v>4110</v>
      </c>
      <c r="E443" s="67"/>
      <c r="F443" s="61" t="str">
        <f t="shared" si="6"/>
        <v>借</v>
      </c>
      <c r="G443" s="64">
        <f>SUM(D$6:E443)</f>
        <v>35466030</v>
      </c>
      <c r="H443" s="61"/>
      <c r="I443" s="61" t="s">
        <v>2554</v>
      </c>
      <c r="J443" s="61" t="s">
        <v>337</v>
      </c>
      <c r="K443" s="64">
        <v>111.23</v>
      </c>
      <c r="L443" s="61"/>
      <c r="M443" s="65" t="s">
        <v>224</v>
      </c>
      <c r="N443" s="61"/>
      <c r="O443" s="61"/>
      <c r="P443" s="61"/>
      <c r="Q443" s="61"/>
      <c r="R443" s="61">
        <v>547496</v>
      </c>
      <c r="S443" s="66" t="s">
        <v>237</v>
      </c>
    </row>
    <row r="444" spans="1:19">
      <c r="A444" s="61" t="s">
        <v>314</v>
      </c>
      <c r="B444" s="62">
        <v>46114</v>
      </c>
      <c r="C444" s="63" t="s">
        <v>2555</v>
      </c>
      <c r="D444" s="67">
        <v>394235</v>
      </c>
      <c r="E444" s="67"/>
      <c r="F444" s="61" t="str">
        <f t="shared" si="6"/>
        <v>借</v>
      </c>
      <c r="G444" s="64">
        <f>SUM(D$6:E444)</f>
        <v>35860265</v>
      </c>
      <c r="H444" s="61"/>
      <c r="I444" s="61" t="s">
        <v>2556</v>
      </c>
      <c r="J444" s="61" t="s">
        <v>338</v>
      </c>
      <c r="K444" s="64">
        <v>18773124</v>
      </c>
      <c r="L444" s="61"/>
      <c r="M444" s="65" t="s">
        <v>224</v>
      </c>
      <c r="N444" s="61"/>
      <c r="O444" s="61"/>
      <c r="P444" s="61"/>
      <c r="Q444" s="61"/>
      <c r="R444" s="61">
        <v>547496</v>
      </c>
      <c r="S444" s="66" t="s">
        <v>237</v>
      </c>
    </row>
    <row r="445" spans="1:19">
      <c r="A445" s="61" t="s">
        <v>314</v>
      </c>
      <c r="B445" s="62">
        <v>46114</v>
      </c>
      <c r="C445" s="63" t="s">
        <v>2557</v>
      </c>
      <c r="D445" s="67">
        <v>341250</v>
      </c>
      <c r="E445" s="67"/>
      <c r="F445" s="61" t="str">
        <f t="shared" si="6"/>
        <v>借</v>
      </c>
      <c r="G445" s="64">
        <f>SUM(D$6:E445)</f>
        <v>36201515</v>
      </c>
      <c r="H445" s="61"/>
      <c r="I445" s="61" t="s">
        <v>390</v>
      </c>
      <c r="J445" s="61" t="s">
        <v>114</v>
      </c>
      <c r="K445" s="64">
        <v>341250</v>
      </c>
      <c r="L445" s="61"/>
      <c r="M445" s="65" t="s">
        <v>224</v>
      </c>
      <c r="N445" s="61"/>
      <c r="O445" s="61"/>
      <c r="P445" s="61"/>
      <c r="Q445" s="61"/>
      <c r="R445" s="61">
        <v>547661</v>
      </c>
      <c r="S445" s="66" t="s">
        <v>783</v>
      </c>
    </row>
    <row r="446" spans="1:19">
      <c r="A446" s="61" t="s">
        <v>314</v>
      </c>
      <c r="B446" s="62">
        <v>46115</v>
      </c>
      <c r="C446" s="63" t="s">
        <v>2558</v>
      </c>
      <c r="D446" s="67">
        <v>2111</v>
      </c>
      <c r="E446" s="67"/>
      <c r="F446" s="61" t="str">
        <f t="shared" si="6"/>
        <v>借</v>
      </c>
      <c r="G446" s="64">
        <f>SUM(D$6:E446)</f>
        <v>36203626</v>
      </c>
      <c r="H446" s="61"/>
      <c r="I446" s="61" t="s">
        <v>2559</v>
      </c>
      <c r="J446" s="61" t="s">
        <v>338</v>
      </c>
      <c r="K446" s="64">
        <v>98626</v>
      </c>
      <c r="L446" s="61"/>
      <c r="M446" s="65" t="s">
        <v>224</v>
      </c>
      <c r="N446" s="61"/>
      <c r="O446" s="61"/>
      <c r="P446" s="61"/>
      <c r="Q446" s="61"/>
      <c r="R446" s="61">
        <v>547837</v>
      </c>
      <c r="S446" s="66" t="s">
        <v>237</v>
      </c>
    </row>
    <row r="447" spans="1:19">
      <c r="A447" s="61" t="s">
        <v>314</v>
      </c>
      <c r="B447" s="62">
        <v>46119</v>
      </c>
      <c r="C447" s="63" t="s">
        <v>2560</v>
      </c>
      <c r="D447" s="67">
        <v>178</v>
      </c>
      <c r="E447" s="67"/>
      <c r="F447" s="61" t="str">
        <f t="shared" si="6"/>
        <v>借</v>
      </c>
      <c r="G447" s="64">
        <f>SUM(D$6:E447)</f>
        <v>36203804</v>
      </c>
      <c r="H447" s="61"/>
      <c r="I447" s="61" t="s">
        <v>2561</v>
      </c>
      <c r="J447" s="61" t="s">
        <v>337</v>
      </c>
      <c r="K447" s="64">
        <v>4.78</v>
      </c>
      <c r="L447" s="61"/>
      <c r="M447" s="65" t="s">
        <v>224</v>
      </c>
      <c r="N447" s="61"/>
      <c r="O447" s="61"/>
      <c r="P447" s="61"/>
      <c r="Q447" s="61"/>
      <c r="R447" s="61">
        <v>547839</v>
      </c>
      <c r="S447" s="66" t="s">
        <v>237</v>
      </c>
    </row>
    <row r="448" spans="1:19">
      <c r="A448" s="61" t="s">
        <v>314</v>
      </c>
      <c r="B448" s="62">
        <v>46119</v>
      </c>
      <c r="C448" s="63" t="s">
        <v>2562</v>
      </c>
      <c r="D448" s="67">
        <v>18907</v>
      </c>
      <c r="E448" s="67"/>
      <c r="F448" s="61" t="str">
        <f t="shared" si="6"/>
        <v>借</v>
      </c>
      <c r="G448" s="64">
        <f>SUM(D$6:E448)</f>
        <v>36222711</v>
      </c>
      <c r="H448" s="61"/>
      <c r="I448" s="61" t="s">
        <v>2563</v>
      </c>
      <c r="J448" s="61" t="s">
        <v>337</v>
      </c>
      <c r="K448" s="64">
        <v>506.75</v>
      </c>
      <c r="L448" s="61"/>
      <c r="M448" s="65" t="s">
        <v>224</v>
      </c>
      <c r="N448" s="61"/>
      <c r="O448" s="61"/>
      <c r="P448" s="61"/>
      <c r="Q448" s="61"/>
      <c r="R448" s="61">
        <v>547839</v>
      </c>
      <c r="S448" s="66" t="s">
        <v>237</v>
      </c>
    </row>
    <row r="449" spans="1:19">
      <c r="A449" s="61" t="s">
        <v>314</v>
      </c>
      <c r="B449" s="62">
        <v>46119</v>
      </c>
      <c r="C449" s="63" t="s">
        <v>2564</v>
      </c>
      <c r="D449" s="67">
        <v>1256146</v>
      </c>
      <c r="E449" s="67"/>
      <c r="F449" s="61" t="str">
        <f t="shared" si="6"/>
        <v>借</v>
      </c>
      <c r="G449" s="64">
        <f>SUM(D$6:E449)</f>
        <v>37478857</v>
      </c>
      <c r="H449" s="61"/>
      <c r="I449" s="61" t="s">
        <v>390</v>
      </c>
      <c r="J449" s="61" t="s">
        <v>114</v>
      </c>
      <c r="K449" s="64">
        <v>1256146</v>
      </c>
      <c r="L449" s="61"/>
      <c r="M449" s="65" t="s">
        <v>224</v>
      </c>
      <c r="N449" s="61"/>
      <c r="O449" s="61"/>
      <c r="P449" s="61"/>
      <c r="Q449" s="61"/>
      <c r="R449" s="61">
        <v>547981</v>
      </c>
      <c r="S449" s="66" t="s">
        <v>783</v>
      </c>
    </row>
    <row r="450" spans="1:19">
      <c r="A450" s="61" t="s">
        <v>314</v>
      </c>
      <c r="B450" s="62">
        <v>46120</v>
      </c>
      <c r="C450" s="63" t="s">
        <v>2565</v>
      </c>
      <c r="D450" s="67">
        <v>1031</v>
      </c>
      <c r="E450" s="67"/>
      <c r="F450" s="61" t="str">
        <f t="shared" si="6"/>
        <v>借</v>
      </c>
      <c r="G450" s="64">
        <f>SUM(D$6:E450)</f>
        <v>37479888</v>
      </c>
      <c r="H450" s="61"/>
      <c r="I450" s="61" t="s">
        <v>2566</v>
      </c>
      <c r="J450" s="61" t="s">
        <v>337</v>
      </c>
      <c r="K450" s="64">
        <v>27.75</v>
      </c>
      <c r="L450" s="61"/>
      <c r="M450" s="65" t="s">
        <v>224</v>
      </c>
      <c r="N450" s="61"/>
      <c r="O450" s="61"/>
      <c r="P450" s="61"/>
      <c r="Q450" s="61"/>
      <c r="R450" s="61">
        <v>548378</v>
      </c>
      <c r="S450" s="66" t="s">
        <v>237</v>
      </c>
    </row>
    <row r="451" spans="1:19">
      <c r="A451" s="61" t="s">
        <v>314</v>
      </c>
      <c r="B451" s="62">
        <v>46120</v>
      </c>
      <c r="C451" s="63" t="s">
        <v>2567</v>
      </c>
      <c r="D451" s="67">
        <v>502</v>
      </c>
      <c r="E451" s="67"/>
      <c r="F451" s="61" t="str">
        <f t="shared" si="6"/>
        <v>借</v>
      </c>
      <c r="G451" s="64">
        <f>SUM(D$6:E451)</f>
        <v>37480390</v>
      </c>
      <c r="H451" s="61"/>
      <c r="I451" s="61" t="s">
        <v>2568</v>
      </c>
      <c r="J451" s="61" t="s">
        <v>337</v>
      </c>
      <c r="K451" s="64">
        <v>13.49</v>
      </c>
      <c r="L451" s="61"/>
      <c r="M451" s="65" t="s">
        <v>224</v>
      </c>
      <c r="N451" s="61"/>
      <c r="O451" s="61"/>
      <c r="P451" s="61"/>
      <c r="Q451" s="61"/>
      <c r="R451" s="61">
        <v>548378</v>
      </c>
      <c r="S451" s="66" t="s">
        <v>237</v>
      </c>
    </row>
    <row r="452" spans="1:19">
      <c r="A452" s="61" t="s">
        <v>314</v>
      </c>
      <c r="B452" s="62">
        <v>46120</v>
      </c>
      <c r="C452" s="63" t="s">
        <v>2569</v>
      </c>
      <c r="D452" s="67">
        <v>46776</v>
      </c>
      <c r="E452" s="67"/>
      <c r="F452" s="61" t="str">
        <f t="shared" si="6"/>
        <v>借</v>
      </c>
      <c r="G452" s="64">
        <f>SUM(D$6:E452)</f>
        <v>37527166</v>
      </c>
      <c r="H452" s="61"/>
      <c r="I452" s="61" t="s">
        <v>2570</v>
      </c>
      <c r="J452" s="61" t="s">
        <v>337</v>
      </c>
      <c r="K452" s="64">
        <v>1258.79</v>
      </c>
      <c r="L452" s="61"/>
      <c r="M452" s="65" t="s">
        <v>224</v>
      </c>
      <c r="N452" s="61"/>
      <c r="O452" s="61"/>
      <c r="P452" s="61"/>
      <c r="Q452" s="61"/>
      <c r="R452" s="61">
        <v>548378</v>
      </c>
      <c r="S452" s="66" t="s">
        <v>237</v>
      </c>
    </row>
    <row r="453" spans="1:19">
      <c r="A453" s="61" t="s">
        <v>314</v>
      </c>
      <c r="B453" s="62">
        <v>46120</v>
      </c>
      <c r="C453" s="63" t="s">
        <v>2571</v>
      </c>
      <c r="D453" s="67">
        <v>864467</v>
      </c>
      <c r="E453" s="67"/>
      <c r="F453" s="61" t="str">
        <f t="shared" si="6"/>
        <v>借</v>
      </c>
      <c r="G453" s="64">
        <f>SUM(D$6:E453)</f>
        <v>38391633</v>
      </c>
      <c r="H453" s="61"/>
      <c r="I453" s="61" t="s">
        <v>390</v>
      </c>
      <c r="J453" s="61" t="s">
        <v>114</v>
      </c>
      <c r="K453" s="64">
        <v>864467</v>
      </c>
      <c r="L453" s="61"/>
      <c r="M453" s="65" t="s">
        <v>224</v>
      </c>
      <c r="N453" s="61"/>
      <c r="O453" s="61"/>
      <c r="P453" s="61"/>
      <c r="Q453" s="61"/>
      <c r="R453" s="61">
        <v>548263</v>
      </c>
      <c r="S453" s="66" t="s">
        <v>783</v>
      </c>
    </row>
    <row r="454" spans="1:19">
      <c r="A454" s="61" t="s">
        <v>314</v>
      </c>
      <c r="B454" s="62">
        <v>46120</v>
      </c>
      <c r="C454" s="63" t="s">
        <v>2572</v>
      </c>
      <c r="D454" s="67">
        <v>75000</v>
      </c>
      <c r="E454" s="67"/>
      <c r="F454" s="61" t="str">
        <f t="shared" si="6"/>
        <v>借</v>
      </c>
      <c r="G454" s="64">
        <f>SUM(D$6:E454)</f>
        <v>38466633</v>
      </c>
      <c r="H454" s="61"/>
      <c r="I454" s="61" t="s">
        <v>2573</v>
      </c>
      <c r="J454" s="61" t="s">
        <v>114</v>
      </c>
      <c r="K454" s="64">
        <v>75000</v>
      </c>
      <c r="L454" s="61"/>
      <c r="M454" s="65" t="s">
        <v>265</v>
      </c>
      <c r="N454" s="61"/>
      <c r="O454" s="61"/>
      <c r="P454" s="61"/>
      <c r="Q454" s="61"/>
      <c r="R454" s="61">
        <v>548617</v>
      </c>
      <c r="S454" s="66" t="s">
        <v>843</v>
      </c>
    </row>
    <row r="455" spans="1:19">
      <c r="A455" s="61" t="s">
        <v>314</v>
      </c>
      <c r="B455" s="62">
        <v>46120</v>
      </c>
      <c r="C455" s="63" t="s">
        <v>2574</v>
      </c>
      <c r="D455" s="67">
        <v>63000</v>
      </c>
      <c r="E455" s="67"/>
      <c r="F455" s="61" t="str">
        <f t="shared" ref="F455:F518" si="7">IF(G455&gt;0,"借","貸")</f>
        <v>借</v>
      </c>
      <c r="G455" s="64">
        <f>SUM(D$6:E455)</f>
        <v>38529633</v>
      </c>
      <c r="H455" s="61"/>
      <c r="I455" s="61" t="s">
        <v>2575</v>
      </c>
      <c r="J455" s="61" t="s">
        <v>114</v>
      </c>
      <c r="K455" s="64">
        <v>63000</v>
      </c>
      <c r="L455" s="61"/>
      <c r="M455" s="65" t="s">
        <v>339</v>
      </c>
      <c r="N455" s="61"/>
      <c r="O455" s="61"/>
      <c r="P455" s="61"/>
      <c r="Q455" s="61"/>
      <c r="R455" s="61">
        <v>548617</v>
      </c>
      <c r="S455" s="66" t="s">
        <v>843</v>
      </c>
    </row>
    <row r="456" spans="1:19">
      <c r="A456" s="61" t="s">
        <v>314</v>
      </c>
      <c r="B456" s="62">
        <v>46120</v>
      </c>
      <c r="C456" s="63" t="s">
        <v>2576</v>
      </c>
      <c r="D456" s="67">
        <v>71200</v>
      </c>
      <c r="E456" s="67"/>
      <c r="F456" s="61" t="str">
        <f t="shared" si="7"/>
        <v>借</v>
      </c>
      <c r="G456" s="64">
        <f>SUM(D$6:E456)</f>
        <v>38600833</v>
      </c>
      <c r="H456" s="61"/>
      <c r="I456" s="61" t="s">
        <v>2577</v>
      </c>
      <c r="J456" s="61" t="s">
        <v>114</v>
      </c>
      <c r="K456" s="64">
        <v>71200</v>
      </c>
      <c r="L456" s="61"/>
      <c r="M456" s="65" t="s">
        <v>304</v>
      </c>
      <c r="N456" s="61"/>
      <c r="O456" s="61"/>
      <c r="P456" s="61"/>
      <c r="Q456" s="61"/>
      <c r="R456" s="61">
        <v>548617</v>
      </c>
      <c r="S456" s="66" t="s">
        <v>843</v>
      </c>
    </row>
    <row r="457" spans="1:19">
      <c r="A457" s="61" t="s">
        <v>314</v>
      </c>
      <c r="B457" s="62">
        <v>46120</v>
      </c>
      <c r="C457" s="63" t="s">
        <v>2578</v>
      </c>
      <c r="D457" s="67">
        <v>23840</v>
      </c>
      <c r="E457" s="67"/>
      <c r="F457" s="61" t="str">
        <f t="shared" si="7"/>
        <v>借</v>
      </c>
      <c r="G457" s="64">
        <f>SUM(D$6:E457)</f>
        <v>38624673</v>
      </c>
      <c r="H457" s="61"/>
      <c r="I457" s="61" t="s">
        <v>2579</v>
      </c>
      <c r="J457" s="61" t="s">
        <v>114</v>
      </c>
      <c r="K457" s="64">
        <v>23840</v>
      </c>
      <c r="L457" s="61"/>
      <c r="M457" s="65" t="s">
        <v>302</v>
      </c>
      <c r="N457" s="61"/>
      <c r="O457" s="61"/>
      <c r="P457" s="61"/>
      <c r="Q457" s="61"/>
      <c r="R457" s="61">
        <v>548617</v>
      </c>
      <c r="S457" s="66" t="s">
        <v>843</v>
      </c>
    </row>
    <row r="458" spans="1:19">
      <c r="A458" s="61" t="s">
        <v>314</v>
      </c>
      <c r="B458" s="62">
        <v>46120</v>
      </c>
      <c r="C458" s="63" t="s">
        <v>2580</v>
      </c>
      <c r="D458" s="67">
        <v>45000</v>
      </c>
      <c r="E458" s="67"/>
      <c r="F458" s="61" t="str">
        <f t="shared" si="7"/>
        <v>借</v>
      </c>
      <c r="G458" s="64">
        <f>SUM(D$6:E458)</f>
        <v>38669673</v>
      </c>
      <c r="H458" s="61"/>
      <c r="I458" s="61" t="s">
        <v>2581</v>
      </c>
      <c r="J458" s="61" t="s">
        <v>114</v>
      </c>
      <c r="K458" s="64">
        <v>45000</v>
      </c>
      <c r="L458" s="61"/>
      <c r="M458" s="65" t="s">
        <v>264</v>
      </c>
      <c r="N458" s="61"/>
      <c r="O458" s="61"/>
      <c r="P458" s="61"/>
      <c r="Q458" s="61"/>
      <c r="R458" s="61">
        <v>548617</v>
      </c>
      <c r="S458" s="66" t="s">
        <v>843</v>
      </c>
    </row>
    <row r="459" spans="1:19">
      <c r="A459" s="61" t="s">
        <v>314</v>
      </c>
      <c r="B459" s="62">
        <v>46120</v>
      </c>
      <c r="C459" s="63" t="s">
        <v>2582</v>
      </c>
      <c r="D459" s="67">
        <v>5000</v>
      </c>
      <c r="E459" s="67"/>
      <c r="F459" s="61" t="str">
        <f t="shared" si="7"/>
        <v>借</v>
      </c>
      <c r="G459" s="64">
        <f>SUM(D$6:E459)</f>
        <v>38674673</v>
      </c>
      <c r="H459" s="61"/>
      <c r="I459" s="61" t="s">
        <v>2583</v>
      </c>
      <c r="J459" s="61" t="s">
        <v>114</v>
      </c>
      <c r="K459" s="64">
        <v>5000</v>
      </c>
      <c r="L459" s="61"/>
      <c r="M459" s="65" t="s">
        <v>1573</v>
      </c>
      <c r="N459" s="61"/>
      <c r="O459" s="61"/>
      <c r="P459" s="61"/>
      <c r="Q459" s="61"/>
      <c r="R459" s="61">
        <v>548617</v>
      </c>
      <c r="S459" s="66" t="s">
        <v>843</v>
      </c>
    </row>
    <row r="460" spans="1:19">
      <c r="A460" s="61" t="s">
        <v>314</v>
      </c>
      <c r="B460" s="62">
        <v>46120</v>
      </c>
      <c r="C460" s="63" t="s">
        <v>2584</v>
      </c>
      <c r="D460" s="67">
        <v>8005</v>
      </c>
      <c r="E460" s="67"/>
      <c r="F460" s="61" t="str">
        <f t="shared" si="7"/>
        <v>借</v>
      </c>
      <c r="G460" s="64">
        <f>SUM(D$6:E460)</f>
        <v>38682678</v>
      </c>
      <c r="H460" s="61"/>
      <c r="I460" s="61" t="s">
        <v>2585</v>
      </c>
      <c r="J460" s="61" t="s">
        <v>114</v>
      </c>
      <c r="K460" s="64">
        <v>8005</v>
      </c>
      <c r="L460" s="61"/>
      <c r="M460" s="65" t="s">
        <v>340</v>
      </c>
      <c r="N460" s="61"/>
      <c r="O460" s="61"/>
      <c r="P460" s="61"/>
      <c r="Q460" s="61"/>
      <c r="R460" s="61">
        <v>548617</v>
      </c>
      <c r="S460" s="66" t="s">
        <v>843</v>
      </c>
    </row>
    <row r="461" spans="1:19">
      <c r="A461" s="61" t="s">
        <v>314</v>
      </c>
      <c r="B461" s="62">
        <v>46120</v>
      </c>
      <c r="C461" s="63" t="s">
        <v>2586</v>
      </c>
      <c r="D461" s="67">
        <v>1000</v>
      </c>
      <c r="E461" s="67"/>
      <c r="F461" s="61" t="str">
        <f t="shared" si="7"/>
        <v>借</v>
      </c>
      <c r="G461" s="64">
        <f>SUM(D$6:E461)</f>
        <v>38683678</v>
      </c>
      <c r="H461" s="61"/>
      <c r="I461" s="61" t="s">
        <v>2587</v>
      </c>
      <c r="J461" s="61" t="s">
        <v>114</v>
      </c>
      <c r="K461" s="64">
        <v>1000</v>
      </c>
      <c r="L461" s="61"/>
      <c r="M461" s="65" t="s">
        <v>277</v>
      </c>
      <c r="N461" s="61"/>
      <c r="O461" s="61"/>
      <c r="P461" s="61"/>
      <c r="Q461" s="61"/>
      <c r="R461" s="61">
        <v>548617</v>
      </c>
      <c r="S461" s="66" t="s">
        <v>843</v>
      </c>
    </row>
    <row r="462" spans="1:19">
      <c r="A462" s="61" t="s">
        <v>314</v>
      </c>
      <c r="B462" s="62">
        <v>46120</v>
      </c>
      <c r="C462" s="63" t="s">
        <v>2588</v>
      </c>
      <c r="D462" s="67">
        <v>1000</v>
      </c>
      <c r="E462" s="67"/>
      <c r="F462" s="61" t="str">
        <f t="shared" si="7"/>
        <v>借</v>
      </c>
      <c r="G462" s="64">
        <f>SUM(D$6:E462)</f>
        <v>38684678</v>
      </c>
      <c r="H462" s="61"/>
      <c r="I462" s="61" t="s">
        <v>2589</v>
      </c>
      <c r="J462" s="61" t="s">
        <v>114</v>
      </c>
      <c r="K462" s="64">
        <v>1000</v>
      </c>
      <c r="L462" s="61"/>
      <c r="M462" s="65" t="s">
        <v>341</v>
      </c>
      <c r="N462" s="61"/>
      <c r="O462" s="61"/>
      <c r="P462" s="61"/>
      <c r="Q462" s="61"/>
      <c r="R462" s="61">
        <v>548617</v>
      </c>
      <c r="S462" s="66" t="s">
        <v>843</v>
      </c>
    </row>
    <row r="463" spans="1:19">
      <c r="A463" s="61" t="s">
        <v>314</v>
      </c>
      <c r="B463" s="62">
        <v>46120</v>
      </c>
      <c r="C463" s="63" t="s">
        <v>2590</v>
      </c>
      <c r="D463" s="67">
        <v>1000</v>
      </c>
      <c r="E463" s="67"/>
      <c r="F463" s="61" t="str">
        <f t="shared" si="7"/>
        <v>借</v>
      </c>
      <c r="G463" s="64">
        <f>SUM(D$6:E463)</f>
        <v>38685678</v>
      </c>
      <c r="H463" s="61"/>
      <c r="I463" s="61" t="s">
        <v>2591</v>
      </c>
      <c r="J463" s="61" t="s">
        <v>114</v>
      </c>
      <c r="K463" s="64">
        <v>1000</v>
      </c>
      <c r="L463" s="61"/>
      <c r="M463" s="65" t="s">
        <v>342</v>
      </c>
      <c r="N463" s="61"/>
      <c r="O463" s="61"/>
      <c r="P463" s="61"/>
      <c r="Q463" s="61"/>
      <c r="R463" s="61">
        <v>548617</v>
      </c>
      <c r="S463" s="66" t="s">
        <v>843</v>
      </c>
    </row>
    <row r="464" spans="1:19">
      <c r="A464" s="61" t="s">
        <v>314</v>
      </c>
      <c r="B464" s="62">
        <v>46120</v>
      </c>
      <c r="C464" s="63" t="s">
        <v>2592</v>
      </c>
      <c r="D464" s="67">
        <v>1000</v>
      </c>
      <c r="E464" s="67"/>
      <c r="F464" s="61" t="str">
        <f t="shared" si="7"/>
        <v>借</v>
      </c>
      <c r="G464" s="64">
        <f>SUM(D$6:E464)</f>
        <v>38686678</v>
      </c>
      <c r="H464" s="61"/>
      <c r="I464" s="61" t="s">
        <v>2593</v>
      </c>
      <c r="J464" s="61" t="s">
        <v>114</v>
      </c>
      <c r="K464" s="64">
        <v>1000</v>
      </c>
      <c r="L464" s="61"/>
      <c r="M464" s="65" t="s">
        <v>343</v>
      </c>
      <c r="N464" s="61"/>
      <c r="O464" s="61"/>
      <c r="P464" s="61"/>
      <c r="Q464" s="61"/>
      <c r="R464" s="61">
        <v>548617</v>
      </c>
      <c r="S464" s="66" t="s">
        <v>843</v>
      </c>
    </row>
    <row r="465" spans="1:19">
      <c r="A465" s="61" t="s">
        <v>314</v>
      </c>
      <c r="B465" s="62">
        <v>46120</v>
      </c>
      <c r="C465" s="63" t="s">
        <v>2594</v>
      </c>
      <c r="D465" s="67">
        <v>5160</v>
      </c>
      <c r="E465" s="67"/>
      <c r="F465" s="61" t="str">
        <f t="shared" si="7"/>
        <v>借</v>
      </c>
      <c r="G465" s="64">
        <f>SUM(D$6:E465)</f>
        <v>38691838</v>
      </c>
      <c r="H465" s="61"/>
      <c r="I465" s="61" t="s">
        <v>2595</v>
      </c>
      <c r="J465" s="61" t="s">
        <v>114</v>
      </c>
      <c r="K465" s="64">
        <v>5160</v>
      </c>
      <c r="L465" s="61"/>
      <c r="M465" s="65" t="s">
        <v>1892</v>
      </c>
      <c r="N465" s="61"/>
      <c r="O465" s="61"/>
      <c r="P465" s="61"/>
      <c r="Q465" s="61"/>
      <c r="R465" s="61">
        <v>548617</v>
      </c>
      <c r="S465" s="66" t="s">
        <v>843</v>
      </c>
    </row>
    <row r="466" spans="1:19">
      <c r="A466" s="61" t="s">
        <v>314</v>
      </c>
      <c r="B466" s="62">
        <v>46120</v>
      </c>
      <c r="C466" s="63" t="s">
        <v>2596</v>
      </c>
      <c r="D466" s="67">
        <v>16800</v>
      </c>
      <c r="E466" s="67"/>
      <c r="F466" s="61" t="str">
        <f t="shared" si="7"/>
        <v>借</v>
      </c>
      <c r="G466" s="64">
        <f>SUM(D$6:E466)</f>
        <v>38708638</v>
      </c>
      <c r="H466" s="61"/>
      <c r="I466" s="61" t="s">
        <v>2597</v>
      </c>
      <c r="J466" s="61" t="s">
        <v>114</v>
      </c>
      <c r="K466" s="64">
        <v>16800</v>
      </c>
      <c r="L466" s="61"/>
      <c r="M466" s="65" t="s">
        <v>368</v>
      </c>
      <c r="N466" s="61"/>
      <c r="O466" s="61"/>
      <c r="P466" s="61"/>
      <c r="Q466" s="61"/>
      <c r="R466" s="61">
        <v>548617</v>
      </c>
      <c r="S466" s="66" t="s">
        <v>843</v>
      </c>
    </row>
    <row r="467" spans="1:19">
      <c r="A467" s="61" t="s">
        <v>314</v>
      </c>
      <c r="B467" s="62">
        <v>46120</v>
      </c>
      <c r="C467" s="63" t="s">
        <v>2598</v>
      </c>
      <c r="D467" s="67">
        <v>33365</v>
      </c>
      <c r="E467" s="67"/>
      <c r="F467" s="61" t="str">
        <f t="shared" si="7"/>
        <v>借</v>
      </c>
      <c r="G467" s="64">
        <f>SUM(D$6:E467)</f>
        <v>38742003</v>
      </c>
      <c r="H467" s="61"/>
      <c r="I467" s="61" t="s">
        <v>2599</v>
      </c>
      <c r="J467" s="61" t="s">
        <v>114</v>
      </c>
      <c r="K467" s="64">
        <v>33365</v>
      </c>
      <c r="L467" s="61"/>
      <c r="M467" s="65" t="s">
        <v>1576</v>
      </c>
      <c r="N467" s="61"/>
      <c r="O467" s="61"/>
      <c r="P467" s="61"/>
      <c r="Q467" s="61"/>
      <c r="R467" s="61">
        <v>548617</v>
      </c>
      <c r="S467" s="66" t="s">
        <v>843</v>
      </c>
    </row>
    <row r="468" spans="1:19">
      <c r="A468" s="61" t="s">
        <v>314</v>
      </c>
      <c r="B468" s="62">
        <v>46120</v>
      </c>
      <c r="C468" s="63" t="s">
        <v>2600</v>
      </c>
      <c r="D468" s="67">
        <v>52377</v>
      </c>
      <c r="E468" s="67"/>
      <c r="F468" s="61" t="str">
        <f t="shared" si="7"/>
        <v>借</v>
      </c>
      <c r="G468" s="64">
        <f>SUM(D$6:E468)</f>
        <v>38794380</v>
      </c>
      <c r="H468" s="61"/>
      <c r="I468" s="61" t="s">
        <v>2601</v>
      </c>
      <c r="J468" s="61" t="s">
        <v>114</v>
      </c>
      <c r="K468" s="64">
        <v>52377</v>
      </c>
      <c r="L468" s="61"/>
      <c r="M468" s="65" t="s">
        <v>284</v>
      </c>
      <c r="N468" s="61"/>
      <c r="O468" s="61"/>
      <c r="P468" s="61"/>
      <c r="Q468" s="61"/>
      <c r="R468" s="61">
        <v>548617</v>
      </c>
      <c r="S468" s="66" t="s">
        <v>843</v>
      </c>
    </row>
    <row r="469" spans="1:19">
      <c r="A469" s="61" t="s">
        <v>314</v>
      </c>
      <c r="B469" s="62">
        <v>46120</v>
      </c>
      <c r="C469" s="63" t="s">
        <v>2602</v>
      </c>
      <c r="D469" s="67">
        <v>2000</v>
      </c>
      <c r="E469" s="67"/>
      <c r="F469" s="61" t="str">
        <f t="shared" si="7"/>
        <v>借</v>
      </c>
      <c r="G469" s="64">
        <f>SUM(D$6:E469)</f>
        <v>38796380</v>
      </c>
      <c r="H469" s="61"/>
      <c r="I469" s="61" t="s">
        <v>2603</v>
      </c>
      <c r="J469" s="61" t="s">
        <v>114</v>
      </c>
      <c r="K469" s="64">
        <v>2000</v>
      </c>
      <c r="L469" s="61"/>
      <c r="M469" s="65" t="s">
        <v>1577</v>
      </c>
      <c r="N469" s="61"/>
      <c r="O469" s="61"/>
      <c r="P469" s="61"/>
      <c r="Q469" s="61"/>
      <c r="R469" s="61">
        <v>548617</v>
      </c>
      <c r="S469" s="66" t="s">
        <v>843</v>
      </c>
    </row>
    <row r="470" spans="1:19">
      <c r="A470" s="61" t="s">
        <v>314</v>
      </c>
      <c r="B470" s="62">
        <v>46120</v>
      </c>
      <c r="C470" s="63" t="s">
        <v>2604</v>
      </c>
      <c r="D470" s="67">
        <v>4250</v>
      </c>
      <c r="E470" s="67"/>
      <c r="F470" s="61" t="str">
        <f t="shared" si="7"/>
        <v>借</v>
      </c>
      <c r="G470" s="64">
        <f>SUM(D$6:E470)</f>
        <v>38800630</v>
      </c>
      <c r="H470" s="61"/>
      <c r="I470" s="61" t="s">
        <v>2605</v>
      </c>
      <c r="J470" s="61" t="s">
        <v>114</v>
      </c>
      <c r="K470" s="64">
        <v>4250</v>
      </c>
      <c r="L470" s="61"/>
      <c r="M470" s="65" t="s">
        <v>344</v>
      </c>
      <c r="N470" s="61"/>
      <c r="O470" s="61"/>
      <c r="P470" s="61"/>
      <c r="Q470" s="61"/>
      <c r="R470" s="61">
        <v>548617</v>
      </c>
      <c r="S470" s="66" t="s">
        <v>843</v>
      </c>
    </row>
    <row r="471" spans="1:19">
      <c r="A471" s="61" t="s">
        <v>314</v>
      </c>
      <c r="B471" s="62">
        <v>46120</v>
      </c>
      <c r="C471" s="63" t="s">
        <v>2606</v>
      </c>
      <c r="D471" s="67">
        <v>85000</v>
      </c>
      <c r="E471" s="67"/>
      <c r="F471" s="61" t="str">
        <f t="shared" si="7"/>
        <v>借</v>
      </c>
      <c r="G471" s="64">
        <f>SUM(D$6:E471)</f>
        <v>38885630</v>
      </c>
      <c r="H471" s="61"/>
      <c r="I471" s="61" t="s">
        <v>2607</v>
      </c>
      <c r="J471" s="61" t="s">
        <v>114</v>
      </c>
      <c r="K471" s="64">
        <v>85000</v>
      </c>
      <c r="L471" s="61"/>
      <c r="M471" s="65" t="s">
        <v>1909</v>
      </c>
      <c r="N471" s="61"/>
      <c r="O471" s="61"/>
      <c r="P471" s="61"/>
      <c r="Q471" s="61"/>
      <c r="R471" s="61">
        <v>548617</v>
      </c>
      <c r="S471" s="66" t="s">
        <v>843</v>
      </c>
    </row>
    <row r="472" spans="1:19">
      <c r="A472" s="61" t="s">
        <v>314</v>
      </c>
      <c r="B472" s="62">
        <v>46120</v>
      </c>
      <c r="C472" s="63" t="s">
        <v>2608</v>
      </c>
      <c r="D472" s="67">
        <v>48644</v>
      </c>
      <c r="E472" s="67"/>
      <c r="F472" s="61" t="str">
        <f t="shared" si="7"/>
        <v>借</v>
      </c>
      <c r="G472" s="64">
        <f>SUM(D$6:E472)</f>
        <v>38934274</v>
      </c>
      <c r="H472" s="61"/>
      <c r="I472" s="61" t="s">
        <v>2609</v>
      </c>
      <c r="J472" s="61" t="s">
        <v>114</v>
      </c>
      <c r="K472" s="64">
        <v>48644</v>
      </c>
      <c r="L472" s="61"/>
      <c r="M472" s="65" t="s">
        <v>1075</v>
      </c>
      <c r="N472" s="61"/>
      <c r="O472" s="61"/>
      <c r="P472" s="61"/>
      <c r="Q472" s="61"/>
      <c r="R472" s="61">
        <v>548617</v>
      </c>
      <c r="S472" s="66" t="s">
        <v>843</v>
      </c>
    </row>
    <row r="473" spans="1:19">
      <c r="A473" s="61" t="s">
        <v>314</v>
      </c>
      <c r="B473" s="62">
        <v>46120</v>
      </c>
      <c r="C473" s="63" t="s">
        <v>2610</v>
      </c>
      <c r="D473" s="67">
        <v>42845</v>
      </c>
      <c r="E473" s="67"/>
      <c r="F473" s="61" t="str">
        <f t="shared" si="7"/>
        <v>借</v>
      </c>
      <c r="G473" s="64">
        <f>SUM(D$6:E473)</f>
        <v>38977119</v>
      </c>
      <c r="H473" s="61"/>
      <c r="I473" s="61" t="s">
        <v>2611</v>
      </c>
      <c r="J473" s="61" t="s">
        <v>114</v>
      </c>
      <c r="K473" s="64">
        <v>42845</v>
      </c>
      <c r="L473" s="61"/>
      <c r="M473" s="65" t="s">
        <v>928</v>
      </c>
      <c r="N473" s="61"/>
      <c r="O473" s="61"/>
      <c r="P473" s="61"/>
      <c r="Q473" s="61"/>
      <c r="R473" s="61">
        <v>548617</v>
      </c>
      <c r="S473" s="66" t="s">
        <v>843</v>
      </c>
    </row>
    <row r="474" spans="1:19">
      <c r="A474" s="61" t="s">
        <v>314</v>
      </c>
      <c r="B474" s="62">
        <v>46120</v>
      </c>
      <c r="C474" s="63" t="s">
        <v>2612</v>
      </c>
      <c r="D474" s="67">
        <v>5000</v>
      </c>
      <c r="E474" s="67"/>
      <c r="F474" s="61" t="str">
        <f t="shared" si="7"/>
        <v>借</v>
      </c>
      <c r="G474" s="64">
        <f>SUM(D$6:E474)</f>
        <v>38982119</v>
      </c>
      <c r="H474" s="61"/>
      <c r="I474" s="61" t="s">
        <v>2613</v>
      </c>
      <c r="J474" s="61" t="s">
        <v>114</v>
      </c>
      <c r="K474" s="64">
        <v>5000</v>
      </c>
      <c r="L474" s="61"/>
      <c r="M474" s="65" t="s">
        <v>324</v>
      </c>
      <c r="N474" s="61"/>
      <c r="O474" s="61"/>
      <c r="P474" s="61"/>
      <c r="Q474" s="61"/>
      <c r="R474" s="61">
        <v>548617</v>
      </c>
      <c r="S474" s="66" t="s">
        <v>843</v>
      </c>
    </row>
    <row r="475" spans="1:19">
      <c r="A475" s="61" t="s">
        <v>314</v>
      </c>
      <c r="B475" s="62">
        <v>46120</v>
      </c>
      <c r="C475" s="63" t="s">
        <v>2614</v>
      </c>
      <c r="D475" s="67">
        <v>86456</v>
      </c>
      <c r="E475" s="67"/>
      <c r="F475" s="61" t="str">
        <f t="shared" si="7"/>
        <v>借</v>
      </c>
      <c r="G475" s="64">
        <f>SUM(D$6:E475)</f>
        <v>39068575</v>
      </c>
      <c r="H475" s="61"/>
      <c r="I475" s="61" t="s">
        <v>2615</v>
      </c>
      <c r="J475" s="61" t="s">
        <v>114</v>
      </c>
      <c r="K475" s="64">
        <v>86456</v>
      </c>
      <c r="L475" s="61"/>
      <c r="M475" s="65" t="s">
        <v>1579</v>
      </c>
      <c r="N475" s="61"/>
      <c r="O475" s="61"/>
      <c r="P475" s="61"/>
      <c r="Q475" s="61"/>
      <c r="R475" s="61">
        <v>548617</v>
      </c>
      <c r="S475" s="66" t="s">
        <v>843</v>
      </c>
    </row>
    <row r="476" spans="1:19">
      <c r="A476" s="61" t="s">
        <v>314</v>
      </c>
      <c r="B476" s="62">
        <v>46120</v>
      </c>
      <c r="C476" s="63" t="s">
        <v>2616</v>
      </c>
      <c r="D476" s="67">
        <v>51448</v>
      </c>
      <c r="E476" s="67"/>
      <c r="F476" s="61" t="str">
        <f t="shared" si="7"/>
        <v>借</v>
      </c>
      <c r="G476" s="64">
        <f>SUM(D$6:E476)</f>
        <v>39120023</v>
      </c>
      <c r="H476" s="61"/>
      <c r="I476" s="61" t="s">
        <v>2617</v>
      </c>
      <c r="J476" s="61" t="s">
        <v>114</v>
      </c>
      <c r="K476" s="64">
        <v>51448</v>
      </c>
      <c r="L476" s="61"/>
      <c r="M476" s="65" t="s">
        <v>929</v>
      </c>
      <c r="N476" s="61"/>
      <c r="O476" s="61"/>
      <c r="P476" s="61"/>
      <c r="Q476" s="61"/>
      <c r="R476" s="61">
        <v>548617</v>
      </c>
      <c r="S476" s="66" t="s">
        <v>843</v>
      </c>
    </row>
    <row r="477" spans="1:19">
      <c r="A477" s="61" t="s">
        <v>314</v>
      </c>
      <c r="B477" s="62">
        <v>46120</v>
      </c>
      <c r="C477" s="63" t="s">
        <v>2618</v>
      </c>
      <c r="D477" s="67">
        <v>10165</v>
      </c>
      <c r="E477" s="67"/>
      <c r="F477" s="61" t="str">
        <f t="shared" si="7"/>
        <v>借</v>
      </c>
      <c r="G477" s="64">
        <f>SUM(D$6:E477)</f>
        <v>39130188</v>
      </c>
      <c r="H477" s="61"/>
      <c r="I477" s="61" t="s">
        <v>2619</v>
      </c>
      <c r="J477" s="61" t="s">
        <v>114</v>
      </c>
      <c r="K477" s="64">
        <v>10165</v>
      </c>
      <c r="L477" s="61"/>
      <c r="M477" s="65" t="s">
        <v>979</v>
      </c>
      <c r="N477" s="61"/>
      <c r="O477" s="61"/>
      <c r="P477" s="61"/>
      <c r="Q477" s="61"/>
      <c r="R477" s="61">
        <v>548617</v>
      </c>
      <c r="S477" s="66" t="s">
        <v>843</v>
      </c>
    </row>
    <row r="478" spans="1:19">
      <c r="A478" s="61" t="s">
        <v>314</v>
      </c>
      <c r="B478" s="62">
        <v>46120</v>
      </c>
      <c r="C478" s="63" t="s">
        <v>2620</v>
      </c>
      <c r="D478" s="67">
        <v>37787</v>
      </c>
      <c r="E478" s="67"/>
      <c r="F478" s="61" t="str">
        <f t="shared" si="7"/>
        <v>借</v>
      </c>
      <c r="G478" s="64">
        <f>SUM(D$6:E478)</f>
        <v>39167975</v>
      </c>
      <c r="H478" s="61"/>
      <c r="I478" s="61" t="s">
        <v>2621</v>
      </c>
      <c r="J478" s="61" t="s">
        <v>114</v>
      </c>
      <c r="K478" s="64">
        <v>37787</v>
      </c>
      <c r="L478" s="61"/>
      <c r="M478" s="65" t="s">
        <v>2622</v>
      </c>
      <c r="N478" s="61"/>
      <c r="O478" s="61"/>
      <c r="P478" s="61"/>
      <c r="Q478" s="61"/>
      <c r="R478" s="61">
        <v>548617</v>
      </c>
      <c r="S478" s="66" t="s">
        <v>843</v>
      </c>
    </row>
    <row r="479" spans="1:19">
      <c r="A479" s="61" t="s">
        <v>314</v>
      </c>
      <c r="B479" s="62">
        <v>46120</v>
      </c>
      <c r="C479" s="63" t="s">
        <v>2623</v>
      </c>
      <c r="D479" s="67">
        <v>55005</v>
      </c>
      <c r="E479" s="67"/>
      <c r="F479" s="61" t="str">
        <f t="shared" si="7"/>
        <v>借</v>
      </c>
      <c r="G479" s="64">
        <f>SUM(D$6:E479)</f>
        <v>39222980</v>
      </c>
      <c r="H479" s="61"/>
      <c r="I479" s="61" t="s">
        <v>2624</v>
      </c>
      <c r="J479" s="61" t="s">
        <v>114</v>
      </c>
      <c r="K479" s="64">
        <v>55005</v>
      </c>
      <c r="L479" s="61"/>
      <c r="M479" s="65" t="s">
        <v>1017</v>
      </c>
      <c r="N479" s="61"/>
      <c r="O479" s="61"/>
      <c r="P479" s="61"/>
      <c r="Q479" s="61"/>
      <c r="R479" s="61">
        <v>548617</v>
      </c>
      <c r="S479" s="66" t="s">
        <v>843</v>
      </c>
    </row>
    <row r="480" spans="1:19">
      <c r="A480" s="61" t="s">
        <v>314</v>
      </c>
      <c r="B480" s="62">
        <v>46120</v>
      </c>
      <c r="C480" s="63" t="s">
        <v>2625</v>
      </c>
      <c r="D480" s="67">
        <v>27025</v>
      </c>
      <c r="E480" s="67"/>
      <c r="F480" s="61" t="str">
        <f t="shared" si="7"/>
        <v>借</v>
      </c>
      <c r="G480" s="64">
        <f>SUM(D$6:E480)</f>
        <v>39250005</v>
      </c>
      <c r="H480" s="61"/>
      <c r="I480" s="61" t="s">
        <v>2626</v>
      </c>
      <c r="J480" s="61" t="s">
        <v>114</v>
      </c>
      <c r="K480" s="64">
        <v>27025</v>
      </c>
      <c r="L480" s="61"/>
      <c r="M480" s="65" t="s">
        <v>930</v>
      </c>
      <c r="N480" s="61"/>
      <c r="O480" s="61"/>
      <c r="P480" s="61"/>
      <c r="Q480" s="61"/>
      <c r="R480" s="61">
        <v>548617</v>
      </c>
      <c r="S480" s="66" t="s">
        <v>843</v>
      </c>
    </row>
    <row r="481" spans="1:19">
      <c r="A481" s="61" t="s">
        <v>314</v>
      </c>
      <c r="B481" s="62">
        <v>46120</v>
      </c>
      <c r="C481" s="63" t="s">
        <v>2627</v>
      </c>
      <c r="D481" s="67">
        <v>66200</v>
      </c>
      <c r="E481" s="67"/>
      <c r="F481" s="61" t="str">
        <f t="shared" si="7"/>
        <v>借</v>
      </c>
      <c r="G481" s="64">
        <f>SUM(D$6:E481)</f>
        <v>39316205</v>
      </c>
      <c r="H481" s="61"/>
      <c r="I481" s="61" t="s">
        <v>2628</v>
      </c>
      <c r="J481" s="61" t="s">
        <v>114</v>
      </c>
      <c r="K481" s="64">
        <v>66200</v>
      </c>
      <c r="L481" s="61"/>
      <c r="M481" s="65" t="s">
        <v>392</v>
      </c>
      <c r="N481" s="61"/>
      <c r="O481" s="61"/>
      <c r="P481" s="61"/>
      <c r="Q481" s="61"/>
      <c r="R481" s="61">
        <v>548617</v>
      </c>
      <c r="S481" s="66" t="s">
        <v>843</v>
      </c>
    </row>
    <row r="482" spans="1:19">
      <c r="A482" s="61" t="s">
        <v>314</v>
      </c>
      <c r="B482" s="62">
        <v>46120</v>
      </c>
      <c r="C482" s="63" t="s">
        <v>2629</v>
      </c>
      <c r="D482" s="67">
        <v>2500</v>
      </c>
      <c r="E482" s="67"/>
      <c r="F482" s="61" t="str">
        <f t="shared" si="7"/>
        <v>借</v>
      </c>
      <c r="G482" s="64">
        <f>SUM(D$6:E482)</f>
        <v>39318705</v>
      </c>
      <c r="H482" s="61"/>
      <c r="I482" s="61" t="s">
        <v>2630</v>
      </c>
      <c r="J482" s="61" t="s">
        <v>114</v>
      </c>
      <c r="K482" s="64">
        <v>2500</v>
      </c>
      <c r="L482" s="61"/>
      <c r="M482" s="65" t="s">
        <v>1918</v>
      </c>
      <c r="N482" s="61"/>
      <c r="O482" s="61"/>
      <c r="P482" s="61"/>
      <c r="Q482" s="61"/>
      <c r="R482" s="61">
        <v>548617</v>
      </c>
      <c r="S482" s="66" t="s">
        <v>843</v>
      </c>
    </row>
    <row r="483" spans="1:19">
      <c r="A483" s="61" t="s">
        <v>314</v>
      </c>
      <c r="B483" s="62">
        <v>46120</v>
      </c>
      <c r="C483" s="63" t="s">
        <v>2631</v>
      </c>
      <c r="D483" s="67">
        <v>10000</v>
      </c>
      <c r="E483" s="67"/>
      <c r="F483" s="61" t="str">
        <f t="shared" si="7"/>
        <v>借</v>
      </c>
      <c r="G483" s="64">
        <f>SUM(D$6:E483)</f>
        <v>39328705</v>
      </c>
      <c r="H483" s="61"/>
      <c r="I483" s="61" t="s">
        <v>2632</v>
      </c>
      <c r="J483" s="61" t="s">
        <v>114</v>
      </c>
      <c r="K483" s="64">
        <v>10000</v>
      </c>
      <c r="L483" s="61"/>
      <c r="M483" s="65" t="s">
        <v>283</v>
      </c>
      <c r="N483" s="61"/>
      <c r="O483" s="61"/>
      <c r="P483" s="61"/>
      <c r="Q483" s="61"/>
      <c r="R483" s="61">
        <v>548617</v>
      </c>
      <c r="S483" s="66" t="s">
        <v>843</v>
      </c>
    </row>
    <row r="484" spans="1:19">
      <c r="A484" s="61" t="s">
        <v>314</v>
      </c>
      <c r="B484" s="62">
        <v>46120</v>
      </c>
      <c r="C484" s="63" t="s">
        <v>2633</v>
      </c>
      <c r="D484" s="67">
        <v>42430</v>
      </c>
      <c r="E484" s="67"/>
      <c r="F484" s="61" t="str">
        <f t="shared" si="7"/>
        <v>借</v>
      </c>
      <c r="G484" s="64">
        <f>SUM(D$6:E484)</f>
        <v>39371135</v>
      </c>
      <c r="H484" s="61"/>
      <c r="I484" s="61" t="s">
        <v>2634</v>
      </c>
      <c r="J484" s="61" t="s">
        <v>114</v>
      </c>
      <c r="K484" s="64">
        <v>42430</v>
      </c>
      <c r="L484" s="61"/>
      <c r="M484" s="65" t="s">
        <v>318</v>
      </c>
      <c r="N484" s="61"/>
      <c r="O484" s="61"/>
      <c r="P484" s="61"/>
      <c r="Q484" s="61"/>
      <c r="R484" s="61">
        <v>548617</v>
      </c>
      <c r="S484" s="66" t="s">
        <v>843</v>
      </c>
    </row>
    <row r="485" spans="1:19">
      <c r="A485" s="61" t="s">
        <v>314</v>
      </c>
      <c r="B485" s="62">
        <v>46120</v>
      </c>
      <c r="C485" s="63" t="s">
        <v>2635</v>
      </c>
      <c r="D485" s="67">
        <v>62735</v>
      </c>
      <c r="E485" s="67"/>
      <c r="F485" s="61" t="str">
        <f t="shared" si="7"/>
        <v>借</v>
      </c>
      <c r="G485" s="64">
        <f>SUM(D$6:E485)</f>
        <v>39433870</v>
      </c>
      <c r="H485" s="61"/>
      <c r="I485" s="61" t="s">
        <v>2636</v>
      </c>
      <c r="J485" s="61" t="s">
        <v>114</v>
      </c>
      <c r="K485" s="64">
        <v>62735</v>
      </c>
      <c r="L485" s="61"/>
      <c r="M485" s="65" t="s">
        <v>1923</v>
      </c>
      <c r="N485" s="61"/>
      <c r="O485" s="61"/>
      <c r="P485" s="61"/>
      <c r="Q485" s="61"/>
      <c r="R485" s="61">
        <v>548617</v>
      </c>
      <c r="S485" s="66" t="s">
        <v>843</v>
      </c>
    </row>
    <row r="486" spans="1:19">
      <c r="A486" s="61" t="s">
        <v>314</v>
      </c>
      <c r="B486" s="62">
        <v>46120</v>
      </c>
      <c r="C486" s="63" t="s">
        <v>2637</v>
      </c>
      <c r="D486" s="67">
        <v>142500</v>
      </c>
      <c r="E486" s="67"/>
      <c r="F486" s="61" t="str">
        <f t="shared" si="7"/>
        <v>借</v>
      </c>
      <c r="G486" s="64">
        <f>SUM(D$6:E486)</f>
        <v>39576370</v>
      </c>
      <c r="H486" s="61"/>
      <c r="I486" s="61" t="s">
        <v>2638</v>
      </c>
      <c r="J486" s="61" t="s">
        <v>114</v>
      </c>
      <c r="K486" s="64">
        <v>142500</v>
      </c>
      <c r="L486" s="61"/>
      <c r="M486" s="65" t="s">
        <v>293</v>
      </c>
      <c r="N486" s="61"/>
      <c r="O486" s="61"/>
      <c r="P486" s="61"/>
      <c r="Q486" s="61"/>
      <c r="R486" s="61">
        <v>548617</v>
      </c>
      <c r="S486" s="66" t="s">
        <v>843</v>
      </c>
    </row>
    <row r="487" spans="1:19">
      <c r="A487" s="61" t="s">
        <v>314</v>
      </c>
      <c r="B487" s="62">
        <v>46120</v>
      </c>
      <c r="C487" s="63" t="s">
        <v>2639</v>
      </c>
      <c r="D487" s="67">
        <v>52655</v>
      </c>
      <c r="E487" s="67"/>
      <c r="F487" s="61" t="str">
        <f t="shared" si="7"/>
        <v>借</v>
      </c>
      <c r="G487" s="64">
        <f>SUM(D$6:E487)</f>
        <v>39629025</v>
      </c>
      <c r="H487" s="61"/>
      <c r="I487" s="61" t="s">
        <v>2640</v>
      </c>
      <c r="J487" s="61" t="s">
        <v>114</v>
      </c>
      <c r="K487" s="64">
        <v>52655</v>
      </c>
      <c r="L487" s="61"/>
      <c r="M487" s="65" t="s">
        <v>1323</v>
      </c>
      <c r="N487" s="61"/>
      <c r="O487" s="61"/>
      <c r="P487" s="61"/>
      <c r="Q487" s="61"/>
      <c r="R487" s="61">
        <v>548617</v>
      </c>
      <c r="S487" s="66" t="s">
        <v>843</v>
      </c>
    </row>
    <row r="488" spans="1:19">
      <c r="A488" s="61" t="s">
        <v>314</v>
      </c>
      <c r="B488" s="62">
        <v>46120</v>
      </c>
      <c r="C488" s="63" t="s">
        <v>2641</v>
      </c>
      <c r="D488" s="67">
        <v>2000</v>
      </c>
      <c r="E488" s="67"/>
      <c r="F488" s="61" t="str">
        <f t="shared" si="7"/>
        <v>借</v>
      </c>
      <c r="G488" s="64">
        <f>SUM(D$6:E488)</f>
        <v>39631025</v>
      </c>
      <c r="H488" s="61"/>
      <c r="I488" s="61" t="s">
        <v>2642</v>
      </c>
      <c r="J488" s="61" t="s">
        <v>114</v>
      </c>
      <c r="K488" s="64">
        <v>2000</v>
      </c>
      <c r="L488" s="61"/>
      <c r="M488" s="65" t="s">
        <v>282</v>
      </c>
      <c r="N488" s="61"/>
      <c r="O488" s="61"/>
      <c r="P488" s="61"/>
      <c r="Q488" s="61"/>
      <c r="R488" s="61">
        <v>548617</v>
      </c>
      <c r="S488" s="66" t="s">
        <v>843</v>
      </c>
    </row>
    <row r="489" spans="1:19">
      <c r="A489" s="61" t="s">
        <v>314</v>
      </c>
      <c r="B489" s="62">
        <v>46120</v>
      </c>
      <c r="C489" s="63" t="s">
        <v>2643</v>
      </c>
      <c r="D489" s="67">
        <v>18800</v>
      </c>
      <c r="E489" s="67"/>
      <c r="F489" s="61" t="str">
        <f t="shared" si="7"/>
        <v>借</v>
      </c>
      <c r="G489" s="64">
        <f>SUM(D$6:E489)</f>
        <v>39649825</v>
      </c>
      <c r="H489" s="61"/>
      <c r="I489" s="61" t="s">
        <v>2644</v>
      </c>
      <c r="J489" s="61" t="s">
        <v>114</v>
      </c>
      <c r="K489" s="64">
        <v>18800</v>
      </c>
      <c r="L489" s="61"/>
      <c r="M489" s="65" t="s">
        <v>319</v>
      </c>
      <c r="N489" s="61"/>
      <c r="O489" s="61"/>
      <c r="P489" s="61"/>
      <c r="Q489" s="61"/>
      <c r="R489" s="61">
        <v>548617</v>
      </c>
      <c r="S489" s="66" t="s">
        <v>843</v>
      </c>
    </row>
    <row r="490" spans="1:19">
      <c r="A490" s="61" t="s">
        <v>314</v>
      </c>
      <c r="B490" s="62">
        <v>46120</v>
      </c>
      <c r="C490" s="63" t="s">
        <v>2645</v>
      </c>
      <c r="D490" s="67">
        <v>37000</v>
      </c>
      <c r="E490" s="67"/>
      <c r="F490" s="61" t="str">
        <f t="shared" si="7"/>
        <v>借</v>
      </c>
      <c r="G490" s="64">
        <f>SUM(D$6:E490)</f>
        <v>39686825</v>
      </c>
      <c r="H490" s="61"/>
      <c r="I490" s="61" t="s">
        <v>2646</v>
      </c>
      <c r="J490" s="61" t="s">
        <v>114</v>
      </c>
      <c r="K490" s="64">
        <v>37000</v>
      </c>
      <c r="L490" s="61"/>
      <c r="M490" s="65" t="s">
        <v>306</v>
      </c>
      <c r="N490" s="61"/>
      <c r="O490" s="61"/>
      <c r="P490" s="61"/>
      <c r="Q490" s="61"/>
      <c r="R490" s="61">
        <v>548617</v>
      </c>
      <c r="S490" s="66" t="s">
        <v>843</v>
      </c>
    </row>
    <row r="491" spans="1:19">
      <c r="A491" s="61" t="s">
        <v>314</v>
      </c>
      <c r="B491" s="62">
        <v>46120</v>
      </c>
      <c r="C491" s="63" t="s">
        <v>2647</v>
      </c>
      <c r="D491" s="67">
        <v>35333</v>
      </c>
      <c r="E491" s="67"/>
      <c r="F491" s="61" t="str">
        <f t="shared" si="7"/>
        <v>借</v>
      </c>
      <c r="G491" s="64">
        <f>SUM(D$6:E491)</f>
        <v>39722158</v>
      </c>
      <c r="H491" s="61"/>
      <c r="I491" s="61" t="s">
        <v>2648</v>
      </c>
      <c r="J491" s="61" t="s">
        <v>114</v>
      </c>
      <c r="K491" s="64">
        <v>35333</v>
      </c>
      <c r="L491" s="61"/>
      <c r="M491" s="65" t="s">
        <v>325</v>
      </c>
      <c r="N491" s="61"/>
      <c r="O491" s="61"/>
      <c r="P491" s="61"/>
      <c r="Q491" s="61"/>
      <c r="R491" s="61">
        <v>548617</v>
      </c>
      <c r="S491" s="66" t="s">
        <v>843</v>
      </c>
    </row>
    <row r="492" spans="1:19">
      <c r="A492" s="61" t="s">
        <v>314</v>
      </c>
      <c r="B492" s="62">
        <v>46120</v>
      </c>
      <c r="C492" s="63" t="s">
        <v>2649</v>
      </c>
      <c r="D492" s="67">
        <v>33000</v>
      </c>
      <c r="E492" s="67"/>
      <c r="F492" s="61" t="str">
        <f t="shared" si="7"/>
        <v>借</v>
      </c>
      <c r="G492" s="64">
        <f>SUM(D$6:E492)</f>
        <v>39755158</v>
      </c>
      <c r="H492" s="61"/>
      <c r="I492" s="61" t="s">
        <v>2650</v>
      </c>
      <c r="J492" s="61" t="s">
        <v>114</v>
      </c>
      <c r="K492" s="64">
        <v>33000</v>
      </c>
      <c r="L492" s="61"/>
      <c r="M492" s="65" t="s">
        <v>346</v>
      </c>
      <c r="N492" s="61"/>
      <c r="O492" s="61"/>
      <c r="P492" s="61"/>
      <c r="Q492" s="61"/>
      <c r="R492" s="61">
        <v>548617</v>
      </c>
      <c r="S492" s="66" t="s">
        <v>843</v>
      </c>
    </row>
    <row r="493" spans="1:19">
      <c r="A493" s="61" t="s">
        <v>314</v>
      </c>
      <c r="B493" s="62">
        <v>46120</v>
      </c>
      <c r="C493" s="63" t="s">
        <v>2651</v>
      </c>
      <c r="D493" s="67">
        <v>149720</v>
      </c>
      <c r="E493" s="67"/>
      <c r="F493" s="61" t="str">
        <f t="shared" si="7"/>
        <v>借</v>
      </c>
      <c r="G493" s="64">
        <f>SUM(D$6:E493)</f>
        <v>39904878</v>
      </c>
      <c r="H493" s="61"/>
      <c r="I493" s="61" t="s">
        <v>2652</v>
      </c>
      <c r="J493" s="61" t="s">
        <v>114</v>
      </c>
      <c r="K493" s="64">
        <v>149720</v>
      </c>
      <c r="L493" s="61"/>
      <c r="M493" s="65" t="s">
        <v>278</v>
      </c>
      <c r="N493" s="61"/>
      <c r="O493" s="61"/>
      <c r="P493" s="61"/>
      <c r="Q493" s="61"/>
      <c r="R493" s="61">
        <v>548617</v>
      </c>
      <c r="S493" s="66" t="s">
        <v>843</v>
      </c>
    </row>
    <row r="494" spans="1:19">
      <c r="A494" s="61" t="s">
        <v>314</v>
      </c>
      <c r="B494" s="62">
        <v>46120</v>
      </c>
      <c r="C494" s="63" t="s">
        <v>2653</v>
      </c>
      <c r="D494" s="67">
        <v>59215</v>
      </c>
      <c r="E494" s="67"/>
      <c r="F494" s="61" t="str">
        <f t="shared" si="7"/>
        <v>借</v>
      </c>
      <c r="G494" s="64">
        <f>SUM(D$6:E494)</f>
        <v>39964093</v>
      </c>
      <c r="H494" s="61"/>
      <c r="I494" s="61" t="s">
        <v>2654</v>
      </c>
      <c r="J494" s="61" t="s">
        <v>114</v>
      </c>
      <c r="K494" s="64">
        <v>59215</v>
      </c>
      <c r="L494" s="61"/>
      <c r="M494" s="65" t="s">
        <v>931</v>
      </c>
      <c r="N494" s="61"/>
      <c r="O494" s="61"/>
      <c r="P494" s="61"/>
      <c r="Q494" s="61"/>
      <c r="R494" s="61">
        <v>548617</v>
      </c>
      <c r="S494" s="66" t="s">
        <v>843</v>
      </c>
    </row>
    <row r="495" spans="1:19">
      <c r="A495" s="61" t="s">
        <v>314</v>
      </c>
      <c r="B495" s="62">
        <v>46120</v>
      </c>
      <c r="C495" s="63" t="s">
        <v>2655</v>
      </c>
      <c r="D495" s="67">
        <v>6610</v>
      </c>
      <c r="E495" s="67"/>
      <c r="F495" s="61" t="str">
        <f t="shared" si="7"/>
        <v>借</v>
      </c>
      <c r="G495" s="64">
        <f>SUM(D$6:E495)</f>
        <v>39970703</v>
      </c>
      <c r="H495" s="61"/>
      <c r="I495" s="61" t="s">
        <v>2656</v>
      </c>
      <c r="J495" s="61" t="s">
        <v>114</v>
      </c>
      <c r="K495" s="64">
        <v>6610</v>
      </c>
      <c r="L495" s="61"/>
      <c r="M495" s="65" t="s">
        <v>347</v>
      </c>
      <c r="N495" s="61"/>
      <c r="O495" s="61"/>
      <c r="P495" s="61"/>
      <c r="Q495" s="61"/>
      <c r="R495" s="61">
        <v>548617</v>
      </c>
      <c r="S495" s="66" t="s">
        <v>843</v>
      </c>
    </row>
    <row r="496" spans="1:19">
      <c r="A496" s="61" t="s">
        <v>314</v>
      </c>
      <c r="B496" s="62">
        <v>46120</v>
      </c>
      <c r="C496" s="63" t="s">
        <v>2657</v>
      </c>
      <c r="D496" s="67">
        <v>158500</v>
      </c>
      <c r="E496" s="67"/>
      <c r="F496" s="61" t="str">
        <f t="shared" si="7"/>
        <v>借</v>
      </c>
      <c r="G496" s="64">
        <f>SUM(D$6:E496)</f>
        <v>40129203</v>
      </c>
      <c r="H496" s="61"/>
      <c r="I496" s="61" t="s">
        <v>2658</v>
      </c>
      <c r="J496" s="61" t="s">
        <v>114</v>
      </c>
      <c r="K496" s="64">
        <v>158500</v>
      </c>
      <c r="L496" s="61"/>
      <c r="M496" s="65" t="s">
        <v>307</v>
      </c>
      <c r="N496" s="61"/>
      <c r="O496" s="61"/>
      <c r="P496" s="61"/>
      <c r="Q496" s="61"/>
      <c r="R496" s="61">
        <v>548617</v>
      </c>
      <c r="S496" s="66" t="s">
        <v>843</v>
      </c>
    </row>
    <row r="497" spans="1:19">
      <c r="A497" s="61" t="s">
        <v>314</v>
      </c>
      <c r="B497" s="62">
        <v>46120</v>
      </c>
      <c r="C497" s="63" t="s">
        <v>2659</v>
      </c>
      <c r="D497" s="67">
        <v>3000</v>
      </c>
      <c r="E497" s="67"/>
      <c r="F497" s="61" t="str">
        <f t="shared" si="7"/>
        <v>借</v>
      </c>
      <c r="G497" s="64">
        <f>SUM(D$6:E497)</f>
        <v>40132203</v>
      </c>
      <c r="H497" s="61"/>
      <c r="I497" s="61" t="s">
        <v>2660</v>
      </c>
      <c r="J497" s="61" t="s">
        <v>114</v>
      </c>
      <c r="K497" s="64">
        <v>3000</v>
      </c>
      <c r="L497" s="61"/>
      <c r="M497" s="65" t="s">
        <v>1178</v>
      </c>
      <c r="N497" s="61"/>
      <c r="O497" s="61"/>
      <c r="P497" s="61"/>
      <c r="Q497" s="61"/>
      <c r="R497" s="61">
        <v>548617</v>
      </c>
      <c r="S497" s="66" t="s">
        <v>843</v>
      </c>
    </row>
    <row r="498" spans="1:19">
      <c r="A498" s="61" t="s">
        <v>314</v>
      </c>
      <c r="B498" s="62">
        <v>46120</v>
      </c>
      <c r="C498" s="63" t="s">
        <v>2661</v>
      </c>
      <c r="D498" s="67">
        <v>18800</v>
      </c>
      <c r="E498" s="67"/>
      <c r="F498" s="61" t="str">
        <f t="shared" si="7"/>
        <v>借</v>
      </c>
      <c r="G498" s="64">
        <f>SUM(D$6:E498)</f>
        <v>40151003</v>
      </c>
      <c r="H498" s="61"/>
      <c r="I498" s="61" t="s">
        <v>2662</v>
      </c>
      <c r="J498" s="61" t="s">
        <v>114</v>
      </c>
      <c r="K498" s="64">
        <v>18800</v>
      </c>
      <c r="L498" s="61"/>
      <c r="M498" s="65" t="s">
        <v>1594</v>
      </c>
      <c r="N498" s="61"/>
      <c r="O498" s="61"/>
      <c r="P498" s="61"/>
      <c r="Q498" s="61"/>
      <c r="R498" s="61">
        <v>548617</v>
      </c>
      <c r="S498" s="66" t="s">
        <v>843</v>
      </c>
    </row>
    <row r="499" spans="1:19">
      <c r="A499" s="61" t="s">
        <v>314</v>
      </c>
      <c r="B499" s="62">
        <v>46120</v>
      </c>
      <c r="C499" s="63" t="s">
        <v>2663</v>
      </c>
      <c r="D499" s="67">
        <v>46000</v>
      </c>
      <c r="E499" s="67"/>
      <c r="F499" s="61" t="str">
        <f t="shared" si="7"/>
        <v>借</v>
      </c>
      <c r="G499" s="64">
        <f>SUM(D$6:E499)</f>
        <v>40197003</v>
      </c>
      <c r="H499" s="61"/>
      <c r="I499" s="61" t="s">
        <v>2664</v>
      </c>
      <c r="J499" s="61" t="s">
        <v>114</v>
      </c>
      <c r="K499" s="64">
        <v>46000</v>
      </c>
      <c r="L499" s="61"/>
      <c r="M499" s="65" t="s">
        <v>348</v>
      </c>
      <c r="N499" s="61"/>
      <c r="O499" s="61"/>
      <c r="P499" s="61"/>
      <c r="Q499" s="61"/>
      <c r="R499" s="61">
        <v>548617</v>
      </c>
      <c r="S499" s="66" t="s">
        <v>843</v>
      </c>
    </row>
    <row r="500" spans="1:19">
      <c r="A500" s="61" t="s">
        <v>314</v>
      </c>
      <c r="B500" s="62">
        <v>46120</v>
      </c>
      <c r="C500" s="63" t="s">
        <v>2665</v>
      </c>
      <c r="D500" s="67">
        <v>34690</v>
      </c>
      <c r="E500" s="67"/>
      <c r="F500" s="61" t="str">
        <f t="shared" si="7"/>
        <v>借</v>
      </c>
      <c r="G500" s="64">
        <f>SUM(D$6:E500)</f>
        <v>40231693</v>
      </c>
      <c r="H500" s="61"/>
      <c r="I500" s="61" t="s">
        <v>2666</v>
      </c>
      <c r="J500" s="61" t="s">
        <v>114</v>
      </c>
      <c r="K500" s="64">
        <v>34690</v>
      </c>
      <c r="L500" s="61"/>
      <c r="M500" s="65" t="s">
        <v>349</v>
      </c>
      <c r="N500" s="61"/>
      <c r="O500" s="61"/>
      <c r="P500" s="61"/>
      <c r="Q500" s="61"/>
      <c r="R500" s="61">
        <v>548617</v>
      </c>
      <c r="S500" s="66" t="s">
        <v>843</v>
      </c>
    </row>
    <row r="501" spans="1:19">
      <c r="A501" s="61" t="s">
        <v>314</v>
      </c>
      <c r="B501" s="62">
        <v>46120</v>
      </c>
      <c r="C501" s="63" t="s">
        <v>2667</v>
      </c>
      <c r="D501" s="67">
        <v>10000</v>
      </c>
      <c r="E501" s="67"/>
      <c r="F501" s="61" t="str">
        <f t="shared" si="7"/>
        <v>借</v>
      </c>
      <c r="G501" s="64">
        <f>SUM(D$6:E501)</f>
        <v>40241693</v>
      </c>
      <c r="H501" s="61"/>
      <c r="I501" s="61" t="s">
        <v>2668</v>
      </c>
      <c r="J501" s="61" t="s">
        <v>114</v>
      </c>
      <c r="K501" s="64">
        <v>10000</v>
      </c>
      <c r="L501" s="61"/>
      <c r="M501" s="65" t="s">
        <v>350</v>
      </c>
      <c r="N501" s="61"/>
      <c r="O501" s="61"/>
      <c r="P501" s="61"/>
      <c r="Q501" s="61"/>
      <c r="R501" s="61">
        <v>548617</v>
      </c>
      <c r="S501" s="66" t="s">
        <v>843</v>
      </c>
    </row>
    <row r="502" spans="1:19">
      <c r="A502" s="61" t="s">
        <v>314</v>
      </c>
      <c r="B502" s="62">
        <v>46120</v>
      </c>
      <c r="C502" s="63" t="s">
        <v>2669</v>
      </c>
      <c r="D502" s="67">
        <v>10000</v>
      </c>
      <c r="E502" s="67"/>
      <c r="F502" s="61" t="str">
        <f t="shared" si="7"/>
        <v>借</v>
      </c>
      <c r="G502" s="64">
        <f>SUM(D$6:E502)</f>
        <v>40251693</v>
      </c>
      <c r="H502" s="61"/>
      <c r="I502" s="61" t="s">
        <v>2670</v>
      </c>
      <c r="J502" s="61" t="s">
        <v>114</v>
      </c>
      <c r="K502" s="64">
        <v>10000</v>
      </c>
      <c r="L502" s="61"/>
      <c r="M502" s="65" t="s">
        <v>351</v>
      </c>
      <c r="N502" s="61"/>
      <c r="O502" s="61"/>
      <c r="P502" s="61"/>
      <c r="Q502" s="61"/>
      <c r="R502" s="61">
        <v>548617</v>
      </c>
      <c r="S502" s="66" t="s">
        <v>843</v>
      </c>
    </row>
    <row r="503" spans="1:19">
      <c r="A503" s="61" t="s">
        <v>314</v>
      </c>
      <c r="B503" s="62">
        <v>46120</v>
      </c>
      <c r="C503" s="63" t="s">
        <v>2671</v>
      </c>
      <c r="D503" s="67">
        <v>10000</v>
      </c>
      <c r="E503" s="67"/>
      <c r="F503" s="61" t="str">
        <f t="shared" si="7"/>
        <v>借</v>
      </c>
      <c r="G503" s="64">
        <f>SUM(D$6:E503)</f>
        <v>40261693</v>
      </c>
      <c r="H503" s="61"/>
      <c r="I503" s="61" t="s">
        <v>2672</v>
      </c>
      <c r="J503" s="61" t="s">
        <v>114</v>
      </c>
      <c r="K503" s="64">
        <v>10000</v>
      </c>
      <c r="L503" s="61"/>
      <c r="M503" s="65" t="s">
        <v>1326</v>
      </c>
      <c r="N503" s="61"/>
      <c r="O503" s="61"/>
      <c r="P503" s="61"/>
      <c r="Q503" s="61"/>
      <c r="R503" s="61">
        <v>548617</v>
      </c>
      <c r="S503" s="66" t="s">
        <v>843</v>
      </c>
    </row>
    <row r="504" spans="1:19">
      <c r="A504" s="61" t="s">
        <v>314</v>
      </c>
      <c r="B504" s="62">
        <v>46120</v>
      </c>
      <c r="C504" s="63" t="s">
        <v>2673</v>
      </c>
      <c r="D504" s="67">
        <v>3000</v>
      </c>
      <c r="E504" s="67"/>
      <c r="F504" s="61" t="str">
        <f t="shared" si="7"/>
        <v>借</v>
      </c>
      <c r="G504" s="64">
        <f>SUM(D$6:E504)</f>
        <v>40264693</v>
      </c>
      <c r="H504" s="61"/>
      <c r="I504" s="61" t="s">
        <v>2674</v>
      </c>
      <c r="J504" s="61" t="s">
        <v>114</v>
      </c>
      <c r="K504" s="64">
        <v>3000</v>
      </c>
      <c r="L504" s="61"/>
      <c r="M504" s="65" t="s">
        <v>352</v>
      </c>
      <c r="N504" s="61"/>
      <c r="O504" s="61"/>
      <c r="P504" s="61"/>
      <c r="Q504" s="61"/>
      <c r="R504" s="61">
        <v>548617</v>
      </c>
      <c r="S504" s="66" t="s">
        <v>843</v>
      </c>
    </row>
    <row r="505" spans="1:19">
      <c r="A505" s="61" t="s">
        <v>314</v>
      </c>
      <c r="B505" s="62">
        <v>46120</v>
      </c>
      <c r="C505" s="63" t="s">
        <v>2675</v>
      </c>
      <c r="D505" s="67">
        <v>3000</v>
      </c>
      <c r="E505" s="67"/>
      <c r="F505" s="61" t="str">
        <f t="shared" si="7"/>
        <v>借</v>
      </c>
      <c r="G505" s="64">
        <f>SUM(D$6:E505)</f>
        <v>40267693</v>
      </c>
      <c r="H505" s="61"/>
      <c r="I505" s="61" t="s">
        <v>2676</v>
      </c>
      <c r="J505" s="61" t="s">
        <v>114</v>
      </c>
      <c r="K505" s="64">
        <v>3000</v>
      </c>
      <c r="L505" s="61"/>
      <c r="M505" s="65" t="s">
        <v>932</v>
      </c>
      <c r="N505" s="61"/>
      <c r="O505" s="61"/>
      <c r="P505" s="61"/>
      <c r="Q505" s="61"/>
      <c r="R505" s="61">
        <v>548617</v>
      </c>
      <c r="S505" s="66" t="s">
        <v>843</v>
      </c>
    </row>
    <row r="506" spans="1:19">
      <c r="A506" s="61" t="s">
        <v>314</v>
      </c>
      <c r="B506" s="62">
        <v>46120</v>
      </c>
      <c r="C506" s="63" t="s">
        <v>2677</v>
      </c>
      <c r="D506" s="67">
        <v>3000</v>
      </c>
      <c r="E506" s="67"/>
      <c r="F506" s="61" t="str">
        <f t="shared" si="7"/>
        <v>借</v>
      </c>
      <c r="G506" s="64">
        <f>SUM(D$6:E506)</f>
        <v>40270693</v>
      </c>
      <c r="H506" s="61"/>
      <c r="I506" s="61" t="s">
        <v>2678</v>
      </c>
      <c r="J506" s="61" t="s">
        <v>114</v>
      </c>
      <c r="K506" s="64">
        <v>3000</v>
      </c>
      <c r="L506" s="61"/>
      <c r="M506" s="65" t="s">
        <v>353</v>
      </c>
      <c r="N506" s="61"/>
      <c r="O506" s="61"/>
      <c r="P506" s="61"/>
      <c r="Q506" s="61"/>
      <c r="R506" s="61">
        <v>548617</v>
      </c>
      <c r="S506" s="66" t="s">
        <v>843</v>
      </c>
    </row>
    <row r="507" spans="1:19">
      <c r="A507" s="61" t="s">
        <v>314</v>
      </c>
      <c r="B507" s="62">
        <v>46120</v>
      </c>
      <c r="C507" s="63" t="s">
        <v>2679</v>
      </c>
      <c r="D507" s="67">
        <v>5000</v>
      </c>
      <c r="E507" s="67"/>
      <c r="F507" s="61" t="str">
        <f t="shared" si="7"/>
        <v>借</v>
      </c>
      <c r="G507" s="64">
        <f>SUM(D$6:E507)</f>
        <v>40275693</v>
      </c>
      <c r="H507" s="61"/>
      <c r="I507" s="61" t="s">
        <v>2680</v>
      </c>
      <c r="J507" s="61" t="s">
        <v>114</v>
      </c>
      <c r="K507" s="64">
        <v>5000</v>
      </c>
      <c r="L507" s="61"/>
      <c r="M507" s="65" t="s">
        <v>279</v>
      </c>
      <c r="N507" s="61"/>
      <c r="O507" s="61"/>
      <c r="P507" s="61"/>
      <c r="Q507" s="61"/>
      <c r="R507" s="61">
        <v>548617</v>
      </c>
      <c r="S507" s="66" t="s">
        <v>843</v>
      </c>
    </row>
    <row r="508" spans="1:19">
      <c r="A508" s="61" t="s">
        <v>314</v>
      </c>
      <c r="B508" s="62">
        <v>46120</v>
      </c>
      <c r="C508" s="63" t="s">
        <v>2681</v>
      </c>
      <c r="D508" s="67">
        <v>7815</v>
      </c>
      <c r="E508" s="67"/>
      <c r="F508" s="61" t="str">
        <f t="shared" si="7"/>
        <v>借</v>
      </c>
      <c r="G508" s="64">
        <f>SUM(D$6:E508)</f>
        <v>40283508</v>
      </c>
      <c r="H508" s="61"/>
      <c r="I508" s="61" t="s">
        <v>2682</v>
      </c>
      <c r="J508" s="61" t="s">
        <v>114</v>
      </c>
      <c r="K508" s="64">
        <v>7815</v>
      </c>
      <c r="L508" s="61"/>
      <c r="M508" s="65" t="s">
        <v>354</v>
      </c>
      <c r="N508" s="61"/>
      <c r="O508" s="61"/>
      <c r="P508" s="61"/>
      <c r="Q508" s="61"/>
      <c r="R508" s="61">
        <v>548617</v>
      </c>
      <c r="S508" s="66" t="s">
        <v>843</v>
      </c>
    </row>
    <row r="509" spans="1:19">
      <c r="A509" s="61" t="s">
        <v>314</v>
      </c>
      <c r="B509" s="62">
        <v>46120</v>
      </c>
      <c r="C509" s="63" t="s">
        <v>2683</v>
      </c>
      <c r="D509" s="67">
        <v>4000</v>
      </c>
      <c r="E509" s="67"/>
      <c r="F509" s="61" t="str">
        <f t="shared" si="7"/>
        <v>借</v>
      </c>
      <c r="G509" s="64">
        <f>SUM(D$6:E509)</f>
        <v>40287508</v>
      </c>
      <c r="H509" s="61"/>
      <c r="I509" s="61" t="s">
        <v>2684</v>
      </c>
      <c r="J509" s="61" t="s">
        <v>114</v>
      </c>
      <c r="K509" s="64">
        <v>4000</v>
      </c>
      <c r="L509" s="61"/>
      <c r="M509" s="65" t="s">
        <v>270</v>
      </c>
      <c r="N509" s="61"/>
      <c r="O509" s="61"/>
      <c r="P509" s="61"/>
      <c r="Q509" s="61"/>
      <c r="R509" s="61">
        <v>548617</v>
      </c>
      <c r="S509" s="66" t="s">
        <v>843</v>
      </c>
    </row>
    <row r="510" spans="1:19">
      <c r="A510" s="61" t="s">
        <v>314</v>
      </c>
      <c r="B510" s="62">
        <v>46120</v>
      </c>
      <c r="C510" s="63" t="s">
        <v>2685</v>
      </c>
      <c r="D510" s="67">
        <v>38000</v>
      </c>
      <c r="E510" s="67"/>
      <c r="F510" s="61" t="str">
        <f t="shared" si="7"/>
        <v>借</v>
      </c>
      <c r="G510" s="64">
        <f>SUM(D$6:E510)</f>
        <v>40325508</v>
      </c>
      <c r="H510" s="61"/>
      <c r="I510" s="61" t="s">
        <v>2686</v>
      </c>
      <c r="J510" s="61" t="s">
        <v>114</v>
      </c>
      <c r="K510" s="64">
        <v>38000</v>
      </c>
      <c r="L510" s="61"/>
      <c r="M510" s="65" t="s">
        <v>288</v>
      </c>
      <c r="N510" s="61"/>
      <c r="O510" s="61"/>
      <c r="P510" s="61"/>
      <c r="Q510" s="61"/>
      <c r="R510" s="61">
        <v>548617</v>
      </c>
      <c r="S510" s="66" t="s">
        <v>843</v>
      </c>
    </row>
    <row r="511" spans="1:19">
      <c r="A511" s="61" t="s">
        <v>314</v>
      </c>
      <c r="B511" s="62">
        <v>46120</v>
      </c>
      <c r="C511" s="63" t="s">
        <v>2687</v>
      </c>
      <c r="D511" s="67">
        <v>30025</v>
      </c>
      <c r="E511" s="67"/>
      <c r="F511" s="61" t="str">
        <f t="shared" si="7"/>
        <v>借</v>
      </c>
      <c r="G511" s="64">
        <f>SUM(D$6:E511)</f>
        <v>40355533</v>
      </c>
      <c r="H511" s="61"/>
      <c r="I511" s="61" t="s">
        <v>2688</v>
      </c>
      <c r="J511" s="61" t="s">
        <v>114</v>
      </c>
      <c r="K511" s="64">
        <v>30025</v>
      </c>
      <c r="L511" s="61"/>
      <c r="M511" s="65" t="s">
        <v>1179</v>
      </c>
      <c r="N511" s="61"/>
      <c r="O511" s="61"/>
      <c r="P511" s="61"/>
      <c r="Q511" s="61"/>
      <c r="R511" s="61">
        <v>548617</v>
      </c>
      <c r="S511" s="66" t="s">
        <v>843</v>
      </c>
    </row>
    <row r="512" spans="1:19">
      <c r="A512" s="61" t="s">
        <v>314</v>
      </c>
      <c r="B512" s="62">
        <v>46120</v>
      </c>
      <c r="C512" s="63" t="s">
        <v>2689</v>
      </c>
      <c r="D512" s="67">
        <v>30025</v>
      </c>
      <c r="E512" s="67"/>
      <c r="F512" s="61" t="str">
        <f t="shared" si="7"/>
        <v>借</v>
      </c>
      <c r="G512" s="64">
        <f>SUM(D$6:E512)</f>
        <v>40385558</v>
      </c>
      <c r="H512" s="61"/>
      <c r="I512" s="61" t="s">
        <v>2690</v>
      </c>
      <c r="J512" s="61" t="s">
        <v>114</v>
      </c>
      <c r="K512" s="64">
        <v>30025</v>
      </c>
      <c r="L512" s="61"/>
      <c r="M512" s="65" t="s">
        <v>1974</v>
      </c>
      <c r="N512" s="61"/>
      <c r="O512" s="61"/>
      <c r="P512" s="61"/>
      <c r="Q512" s="61"/>
      <c r="R512" s="61">
        <v>548617</v>
      </c>
      <c r="S512" s="66" t="s">
        <v>843</v>
      </c>
    </row>
    <row r="513" spans="1:19">
      <c r="A513" s="61" t="s">
        <v>314</v>
      </c>
      <c r="B513" s="62">
        <v>46120</v>
      </c>
      <c r="C513" s="63" t="s">
        <v>2691</v>
      </c>
      <c r="D513" s="67">
        <v>4000</v>
      </c>
      <c r="E513" s="67"/>
      <c r="F513" s="61" t="str">
        <f t="shared" si="7"/>
        <v>借</v>
      </c>
      <c r="G513" s="64">
        <f>SUM(D$6:E513)</f>
        <v>40389558</v>
      </c>
      <c r="H513" s="61"/>
      <c r="I513" s="61" t="s">
        <v>2692</v>
      </c>
      <c r="J513" s="61" t="s">
        <v>114</v>
      </c>
      <c r="K513" s="64">
        <v>4000</v>
      </c>
      <c r="L513" s="61"/>
      <c r="M513" s="65" t="s">
        <v>355</v>
      </c>
      <c r="N513" s="61"/>
      <c r="O513" s="61"/>
      <c r="P513" s="61"/>
      <c r="Q513" s="61"/>
      <c r="R513" s="61">
        <v>548617</v>
      </c>
      <c r="S513" s="66" t="s">
        <v>843</v>
      </c>
    </row>
    <row r="514" spans="1:19">
      <c r="A514" s="61" t="s">
        <v>314</v>
      </c>
      <c r="B514" s="62">
        <v>46120</v>
      </c>
      <c r="C514" s="63" t="s">
        <v>2693</v>
      </c>
      <c r="D514" s="67"/>
      <c r="E514" s="67">
        <v>-53222</v>
      </c>
      <c r="F514" s="61" t="str">
        <f t="shared" si="7"/>
        <v>借</v>
      </c>
      <c r="G514" s="64">
        <f>SUM(D$6:E514)</f>
        <v>40336336</v>
      </c>
      <c r="H514" s="61"/>
      <c r="I514" s="61" t="s">
        <v>2694</v>
      </c>
      <c r="J514" s="61" t="s">
        <v>236</v>
      </c>
      <c r="K514" s="64">
        <v>-1659.63</v>
      </c>
      <c r="L514" s="61"/>
      <c r="M514" s="65" t="s">
        <v>224</v>
      </c>
      <c r="N514" s="61"/>
      <c r="O514" s="61"/>
      <c r="P514" s="61"/>
      <c r="Q514" s="61"/>
      <c r="R514" s="61">
        <v>548546</v>
      </c>
      <c r="S514" s="66" t="s">
        <v>237</v>
      </c>
    </row>
    <row r="515" spans="1:19">
      <c r="A515" s="61" t="s">
        <v>314</v>
      </c>
      <c r="B515" s="62">
        <v>46120</v>
      </c>
      <c r="C515" s="63" t="s">
        <v>2695</v>
      </c>
      <c r="D515" s="67">
        <v>53222</v>
      </c>
      <c r="E515" s="67"/>
      <c r="F515" s="61" t="str">
        <f t="shared" si="7"/>
        <v>借</v>
      </c>
      <c r="G515" s="64">
        <f>SUM(D$6:E515)</f>
        <v>40389558</v>
      </c>
      <c r="H515" s="61"/>
      <c r="I515" s="61" t="s">
        <v>2696</v>
      </c>
      <c r="J515" s="61" t="s">
        <v>236</v>
      </c>
      <c r="K515" s="64">
        <v>1659.63</v>
      </c>
      <c r="L515" s="61"/>
      <c r="M515" s="65" t="s">
        <v>224</v>
      </c>
      <c r="N515" s="61"/>
      <c r="O515" s="61"/>
      <c r="P515" s="61"/>
      <c r="Q515" s="61"/>
      <c r="R515" s="61">
        <v>548399</v>
      </c>
      <c r="S515" s="66" t="s">
        <v>237</v>
      </c>
    </row>
    <row r="516" spans="1:19">
      <c r="A516" s="61" t="s">
        <v>314</v>
      </c>
      <c r="B516" s="62">
        <v>46121</v>
      </c>
      <c r="C516" s="63" t="s">
        <v>2697</v>
      </c>
      <c r="D516" s="67">
        <v>363</v>
      </c>
      <c r="E516" s="67"/>
      <c r="F516" s="61" t="str">
        <f t="shared" si="7"/>
        <v>借</v>
      </c>
      <c r="G516" s="64">
        <f>SUM(D$6:E516)</f>
        <v>40389921</v>
      </c>
      <c r="H516" s="61"/>
      <c r="I516" s="61" t="s">
        <v>2698</v>
      </c>
      <c r="J516" s="61" t="s">
        <v>337</v>
      </c>
      <c r="K516" s="64">
        <v>9.76</v>
      </c>
      <c r="L516" s="61"/>
      <c r="M516" s="65" t="s">
        <v>224</v>
      </c>
      <c r="N516" s="61"/>
      <c r="O516" s="61"/>
      <c r="P516" s="61"/>
      <c r="Q516" s="61"/>
      <c r="R516" s="61">
        <v>548534</v>
      </c>
      <c r="S516" s="66" t="s">
        <v>237</v>
      </c>
    </row>
    <row r="517" spans="1:19">
      <c r="A517" s="61" t="s">
        <v>314</v>
      </c>
      <c r="B517" s="62">
        <v>46121</v>
      </c>
      <c r="C517" s="63" t="s">
        <v>2699</v>
      </c>
      <c r="D517" s="67">
        <v>19322</v>
      </c>
      <c r="E517" s="67"/>
      <c r="F517" s="61" t="str">
        <f t="shared" si="7"/>
        <v>借</v>
      </c>
      <c r="G517" s="64">
        <f>SUM(D$6:E517)</f>
        <v>40409243</v>
      </c>
      <c r="H517" s="61"/>
      <c r="I517" s="61" t="s">
        <v>2700</v>
      </c>
      <c r="J517" s="61" t="s">
        <v>337</v>
      </c>
      <c r="K517" s="64">
        <v>518.85</v>
      </c>
      <c r="L517" s="61"/>
      <c r="M517" s="65" t="s">
        <v>224</v>
      </c>
      <c r="N517" s="61"/>
      <c r="O517" s="61"/>
      <c r="P517" s="61"/>
      <c r="Q517" s="61"/>
      <c r="R517" s="61">
        <v>548534</v>
      </c>
      <c r="S517" s="66" t="s">
        <v>237</v>
      </c>
    </row>
    <row r="518" spans="1:19">
      <c r="A518" s="61" t="s">
        <v>314</v>
      </c>
      <c r="B518" s="62">
        <v>46121</v>
      </c>
      <c r="C518" s="63" t="s">
        <v>2701</v>
      </c>
      <c r="D518" s="67">
        <v>196030</v>
      </c>
      <c r="E518" s="67"/>
      <c r="F518" s="61" t="str">
        <f t="shared" si="7"/>
        <v>借</v>
      </c>
      <c r="G518" s="64">
        <f>SUM(D$6:E518)</f>
        <v>40605273</v>
      </c>
      <c r="H518" s="61"/>
      <c r="I518" s="61" t="s">
        <v>2702</v>
      </c>
      <c r="J518" s="61" t="s">
        <v>337</v>
      </c>
      <c r="K518" s="64">
        <v>5264.06</v>
      </c>
      <c r="L518" s="61"/>
      <c r="M518" s="65" t="s">
        <v>224</v>
      </c>
      <c r="N518" s="61"/>
      <c r="O518" s="61"/>
      <c r="P518" s="61"/>
      <c r="Q518" s="61"/>
      <c r="R518" s="61">
        <v>548534</v>
      </c>
      <c r="S518" s="66" t="s">
        <v>237</v>
      </c>
    </row>
    <row r="519" spans="1:19">
      <c r="A519" s="61" t="s">
        <v>314</v>
      </c>
      <c r="B519" s="62">
        <v>46121</v>
      </c>
      <c r="C519" s="63" t="s">
        <v>2703</v>
      </c>
      <c r="D519" s="67">
        <v>914038</v>
      </c>
      <c r="E519" s="67"/>
      <c r="F519" s="61" t="str">
        <f t="shared" ref="F519:F568" si="8">IF(G519&gt;0,"借","貸")</f>
        <v>借</v>
      </c>
      <c r="G519" s="64">
        <f>SUM(D$6:E519)</f>
        <v>41519311</v>
      </c>
      <c r="H519" s="61"/>
      <c r="I519" s="61" t="s">
        <v>2704</v>
      </c>
      <c r="J519" s="61" t="s">
        <v>338</v>
      </c>
      <c r="K519" s="64">
        <v>42513420</v>
      </c>
      <c r="L519" s="61"/>
      <c r="M519" s="65" t="s">
        <v>224</v>
      </c>
      <c r="N519" s="61"/>
      <c r="O519" s="61"/>
      <c r="P519" s="61"/>
      <c r="Q519" s="61"/>
      <c r="R519" s="61">
        <v>548534</v>
      </c>
      <c r="S519" s="66" t="s">
        <v>237</v>
      </c>
    </row>
    <row r="520" spans="1:19">
      <c r="A520" s="61" t="s">
        <v>314</v>
      </c>
      <c r="B520" s="62">
        <v>46121</v>
      </c>
      <c r="C520" s="63" t="s">
        <v>2705</v>
      </c>
      <c r="D520" s="67"/>
      <c r="E520" s="67">
        <v>-900000</v>
      </c>
      <c r="F520" s="61" t="str">
        <f t="shared" si="8"/>
        <v>借</v>
      </c>
      <c r="G520" s="64">
        <f>SUM(D$6:E520)</f>
        <v>40619311</v>
      </c>
      <c r="H520" s="61" t="s">
        <v>2433</v>
      </c>
      <c r="I520" s="61" t="s">
        <v>2706</v>
      </c>
      <c r="J520" s="61" t="s">
        <v>114</v>
      </c>
      <c r="K520" s="64">
        <v>-900000</v>
      </c>
      <c r="L520" s="61"/>
      <c r="M520" s="65" t="s">
        <v>2435</v>
      </c>
      <c r="N520" s="61"/>
      <c r="O520" s="61"/>
      <c r="P520" s="61"/>
      <c r="Q520" s="61"/>
      <c r="R520" s="61">
        <v>548626</v>
      </c>
      <c r="S520" s="66" t="s">
        <v>843</v>
      </c>
    </row>
    <row r="521" spans="1:19">
      <c r="A521" s="61" t="s">
        <v>314</v>
      </c>
      <c r="B521" s="62">
        <v>46121</v>
      </c>
      <c r="C521" s="63" t="s">
        <v>2707</v>
      </c>
      <c r="D521" s="67">
        <v>1044210</v>
      </c>
      <c r="E521" s="67"/>
      <c r="F521" s="61" t="str">
        <f t="shared" si="8"/>
        <v>借</v>
      </c>
      <c r="G521" s="64">
        <f>SUM(D$6:E521)</f>
        <v>41663521</v>
      </c>
      <c r="H521" s="61"/>
      <c r="I521" s="61" t="s">
        <v>390</v>
      </c>
      <c r="J521" s="61" t="s">
        <v>114</v>
      </c>
      <c r="K521" s="64">
        <v>1044210</v>
      </c>
      <c r="L521" s="61"/>
      <c r="M521" s="65" t="s">
        <v>224</v>
      </c>
      <c r="N521" s="61"/>
      <c r="O521" s="61"/>
      <c r="P521" s="61"/>
      <c r="Q521" s="61"/>
      <c r="R521" s="61">
        <v>548450</v>
      </c>
      <c r="S521" s="66" t="s">
        <v>783</v>
      </c>
    </row>
    <row r="522" spans="1:19">
      <c r="A522" s="61" t="s">
        <v>314</v>
      </c>
      <c r="B522" s="62">
        <v>46121</v>
      </c>
      <c r="C522" s="63" t="s">
        <v>2708</v>
      </c>
      <c r="D522" s="67"/>
      <c r="E522" s="67">
        <v>-5000</v>
      </c>
      <c r="F522" s="61" t="str">
        <f t="shared" si="8"/>
        <v>借</v>
      </c>
      <c r="G522" s="64">
        <f>SUM(D$6:E522)</f>
        <v>41658521</v>
      </c>
      <c r="H522" s="61"/>
      <c r="I522" s="61" t="s">
        <v>2709</v>
      </c>
      <c r="J522" s="61" t="s">
        <v>114</v>
      </c>
      <c r="K522" s="64">
        <v>-5000</v>
      </c>
      <c r="L522" s="61"/>
      <c r="M522" s="65" t="s">
        <v>1190</v>
      </c>
      <c r="N522" s="61"/>
      <c r="O522" s="61"/>
      <c r="P522" s="61"/>
      <c r="Q522" s="61"/>
      <c r="R522" s="61">
        <v>548779</v>
      </c>
      <c r="S522" s="66" t="s">
        <v>843</v>
      </c>
    </row>
    <row r="523" spans="1:19">
      <c r="A523" s="61" t="s">
        <v>314</v>
      </c>
      <c r="B523" s="62">
        <v>46121</v>
      </c>
      <c r="C523" s="63" t="s">
        <v>2710</v>
      </c>
      <c r="D523" s="67"/>
      <c r="E523" s="67">
        <v>-5000</v>
      </c>
      <c r="F523" s="61" t="str">
        <f t="shared" si="8"/>
        <v>借</v>
      </c>
      <c r="G523" s="64">
        <f>SUM(D$6:E523)</f>
        <v>41653521</v>
      </c>
      <c r="H523" s="61"/>
      <c r="I523" s="61" t="s">
        <v>2711</v>
      </c>
      <c r="J523" s="61" t="s">
        <v>114</v>
      </c>
      <c r="K523" s="64">
        <v>-5000</v>
      </c>
      <c r="L523" s="61"/>
      <c r="M523" s="65" t="s">
        <v>1662</v>
      </c>
      <c r="N523" s="61"/>
      <c r="O523" s="61"/>
      <c r="P523" s="61"/>
      <c r="Q523" s="61"/>
      <c r="R523" s="61">
        <v>548779</v>
      </c>
      <c r="S523" s="66" t="s">
        <v>843</v>
      </c>
    </row>
    <row r="524" spans="1:19">
      <c r="A524" s="61" t="s">
        <v>314</v>
      </c>
      <c r="B524" s="62">
        <v>46121</v>
      </c>
      <c r="C524" s="63" t="s">
        <v>2712</v>
      </c>
      <c r="D524" s="67">
        <v>26189</v>
      </c>
      <c r="E524" s="67"/>
      <c r="F524" s="61" t="str">
        <f t="shared" si="8"/>
        <v>借</v>
      </c>
      <c r="G524" s="64">
        <f>SUM(D$6:E524)</f>
        <v>41679710</v>
      </c>
      <c r="H524" s="61"/>
      <c r="I524" s="61" t="s">
        <v>2713</v>
      </c>
      <c r="J524" s="61" t="s">
        <v>236</v>
      </c>
      <c r="K524" s="64">
        <v>822</v>
      </c>
      <c r="L524" s="61"/>
      <c r="M524" s="65" t="s">
        <v>224</v>
      </c>
      <c r="N524" s="61"/>
      <c r="O524" s="61"/>
      <c r="P524" s="61"/>
      <c r="Q524" s="61"/>
      <c r="R524" s="61">
        <v>548535</v>
      </c>
      <c r="S524" s="66" t="s">
        <v>237</v>
      </c>
    </row>
    <row r="525" spans="1:19">
      <c r="A525" s="61" t="s">
        <v>314</v>
      </c>
      <c r="B525" s="62">
        <v>46121</v>
      </c>
      <c r="C525" s="63" t="s">
        <v>2714</v>
      </c>
      <c r="D525" s="67"/>
      <c r="E525" s="67">
        <v>-26189</v>
      </c>
      <c r="F525" s="61" t="str">
        <f t="shared" si="8"/>
        <v>借</v>
      </c>
      <c r="G525" s="64">
        <f>SUM(D$6:E525)</f>
        <v>41653521</v>
      </c>
      <c r="H525" s="61"/>
      <c r="I525" s="61" t="s">
        <v>2715</v>
      </c>
      <c r="J525" s="61" t="s">
        <v>236</v>
      </c>
      <c r="K525" s="64">
        <v>-822</v>
      </c>
      <c r="L525" s="61"/>
      <c r="M525" s="65" t="s">
        <v>224</v>
      </c>
      <c r="N525" s="61"/>
      <c r="O525" s="61"/>
      <c r="P525" s="61"/>
      <c r="Q525" s="61"/>
      <c r="R525" s="61">
        <v>548547</v>
      </c>
      <c r="S525" s="66" t="s">
        <v>237</v>
      </c>
    </row>
    <row r="526" spans="1:19">
      <c r="A526" s="61" t="s">
        <v>314</v>
      </c>
      <c r="B526" s="62">
        <v>46121</v>
      </c>
      <c r="C526" s="63" t="s">
        <v>2716</v>
      </c>
      <c r="D526" s="67">
        <v>4206</v>
      </c>
      <c r="E526" s="67"/>
      <c r="F526" s="61" t="str">
        <f t="shared" si="8"/>
        <v>借</v>
      </c>
      <c r="G526" s="64">
        <f>SUM(D$6:E526)</f>
        <v>41657727</v>
      </c>
      <c r="H526" s="61"/>
      <c r="I526" s="61" t="s">
        <v>2717</v>
      </c>
      <c r="J526" s="61" t="s">
        <v>2718</v>
      </c>
      <c r="K526" s="64">
        <v>3505270</v>
      </c>
      <c r="L526" s="61"/>
      <c r="M526" s="65" t="s">
        <v>224</v>
      </c>
      <c r="N526" s="61"/>
      <c r="O526" s="61"/>
      <c r="P526" s="61"/>
      <c r="Q526" s="61"/>
      <c r="R526" s="61">
        <v>548534</v>
      </c>
      <c r="S526" s="66" t="s">
        <v>237</v>
      </c>
    </row>
    <row r="527" spans="1:19">
      <c r="A527" s="61" t="s">
        <v>314</v>
      </c>
      <c r="B527" s="62">
        <v>46122</v>
      </c>
      <c r="C527" s="63" t="s">
        <v>2719</v>
      </c>
      <c r="D527" s="67">
        <v>132301</v>
      </c>
      <c r="E527" s="67"/>
      <c r="F527" s="61" t="str">
        <f t="shared" si="8"/>
        <v>借</v>
      </c>
      <c r="G527" s="64">
        <f>SUM(D$6:E527)</f>
        <v>41790028</v>
      </c>
      <c r="H527" s="61"/>
      <c r="I527" s="61" t="s">
        <v>2720</v>
      </c>
      <c r="J527" s="61" t="s">
        <v>337</v>
      </c>
      <c r="K527" s="64">
        <v>3537.34</v>
      </c>
      <c r="L527" s="61"/>
      <c r="M527" s="65" t="s">
        <v>224</v>
      </c>
      <c r="N527" s="61"/>
      <c r="O527" s="61"/>
      <c r="P527" s="61"/>
      <c r="Q527" s="61"/>
      <c r="R527" s="61">
        <v>548644</v>
      </c>
      <c r="S527" s="66" t="s">
        <v>237</v>
      </c>
    </row>
    <row r="528" spans="1:19">
      <c r="A528" s="61" t="s">
        <v>314</v>
      </c>
      <c r="B528" s="62">
        <v>46122</v>
      </c>
      <c r="C528" s="63" t="s">
        <v>2721</v>
      </c>
      <c r="D528" s="67">
        <v>83486</v>
      </c>
      <c r="E528" s="67"/>
      <c r="F528" s="61" t="str">
        <f t="shared" si="8"/>
        <v>借</v>
      </c>
      <c r="G528" s="64">
        <f>SUM(D$6:E528)</f>
        <v>41873514</v>
      </c>
      <c r="H528" s="61"/>
      <c r="I528" s="61" t="s">
        <v>2722</v>
      </c>
      <c r="J528" s="61" t="s">
        <v>337</v>
      </c>
      <c r="K528" s="64">
        <v>2232.1799999999998</v>
      </c>
      <c r="L528" s="61"/>
      <c r="M528" s="65" t="s">
        <v>224</v>
      </c>
      <c r="N528" s="61"/>
      <c r="O528" s="61"/>
      <c r="P528" s="61"/>
      <c r="Q528" s="61"/>
      <c r="R528" s="61">
        <v>548644</v>
      </c>
      <c r="S528" s="66" t="s">
        <v>237</v>
      </c>
    </row>
    <row r="529" spans="1:19">
      <c r="A529" s="61" t="s">
        <v>314</v>
      </c>
      <c r="B529" s="62">
        <v>46122</v>
      </c>
      <c r="C529" s="63" t="s">
        <v>2723</v>
      </c>
      <c r="D529" s="67">
        <v>107835</v>
      </c>
      <c r="E529" s="67"/>
      <c r="F529" s="61" t="str">
        <f t="shared" si="8"/>
        <v>借</v>
      </c>
      <c r="G529" s="64">
        <f>SUM(D$6:E529)</f>
        <v>41981349</v>
      </c>
      <c r="H529" s="61"/>
      <c r="I529" s="61" t="s">
        <v>2724</v>
      </c>
      <c r="J529" s="61" t="s">
        <v>337</v>
      </c>
      <c r="K529" s="64">
        <v>2883.2</v>
      </c>
      <c r="L529" s="61"/>
      <c r="M529" s="65" t="s">
        <v>224</v>
      </c>
      <c r="N529" s="61"/>
      <c r="O529" s="61"/>
      <c r="P529" s="61"/>
      <c r="Q529" s="61"/>
      <c r="R529" s="61">
        <v>548644</v>
      </c>
      <c r="S529" s="66" t="s">
        <v>237</v>
      </c>
    </row>
    <row r="530" spans="1:19">
      <c r="A530" s="61" t="s">
        <v>314</v>
      </c>
      <c r="B530" s="62">
        <v>46122</v>
      </c>
      <c r="C530" s="63" t="s">
        <v>2725</v>
      </c>
      <c r="D530" s="67">
        <v>520784</v>
      </c>
      <c r="E530" s="67"/>
      <c r="F530" s="61" t="str">
        <f t="shared" si="8"/>
        <v>借</v>
      </c>
      <c r="G530" s="64">
        <f>SUM(D$6:E530)</f>
        <v>42502133</v>
      </c>
      <c r="H530" s="61"/>
      <c r="I530" s="61" t="s">
        <v>2726</v>
      </c>
      <c r="J530" s="61" t="s">
        <v>338</v>
      </c>
      <c r="K530" s="64">
        <v>24110385</v>
      </c>
      <c r="L530" s="61"/>
      <c r="M530" s="65" t="s">
        <v>224</v>
      </c>
      <c r="N530" s="61"/>
      <c r="O530" s="61"/>
      <c r="P530" s="61"/>
      <c r="Q530" s="61"/>
      <c r="R530" s="61">
        <v>548644</v>
      </c>
      <c r="S530" s="66" t="s">
        <v>237</v>
      </c>
    </row>
    <row r="531" spans="1:19">
      <c r="A531" s="61" t="s">
        <v>314</v>
      </c>
      <c r="B531" s="62">
        <v>46122</v>
      </c>
      <c r="C531" s="63" t="s">
        <v>2727</v>
      </c>
      <c r="D531" s="67"/>
      <c r="E531" s="67">
        <v>-45000</v>
      </c>
      <c r="F531" s="61" t="str">
        <f t="shared" si="8"/>
        <v>借</v>
      </c>
      <c r="G531" s="64">
        <f>SUM(D$6:E531)</f>
        <v>42457133</v>
      </c>
      <c r="H531" s="61"/>
      <c r="I531" s="61" t="s">
        <v>2728</v>
      </c>
      <c r="J531" s="61" t="s">
        <v>114</v>
      </c>
      <c r="K531" s="64">
        <v>-45000</v>
      </c>
      <c r="L531" s="61"/>
      <c r="M531" s="65" t="s">
        <v>264</v>
      </c>
      <c r="N531" s="61"/>
      <c r="O531" s="61"/>
      <c r="P531" s="61"/>
      <c r="Q531" s="61"/>
      <c r="R531" s="61">
        <v>548780</v>
      </c>
      <c r="S531" s="66" t="s">
        <v>843</v>
      </c>
    </row>
    <row r="532" spans="1:19">
      <c r="A532" s="61" t="s">
        <v>314</v>
      </c>
      <c r="B532" s="62">
        <v>46122</v>
      </c>
      <c r="C532" s="63" t="s">
        <v>2729</v>
      </c>
      <c r="D532" s="67">
        <v>2063324</v>
      </c>
      <c r="E532" s="67"/>
      <c r="F532" s="61" t="str">
        <f t="shared" si="8"/>
        <v>借</v>
      </c>
      <c r="G532" s="64">
        <f>SUM(D$6:E532)</f>
        <v>44520457</v>
      </c>
      <c r="H532" s="61"/>
      <c r="I532" s="61" t="s">
        <v>390</v>
      </c>
      <c r="J532" s="61" t="s">
        <v>114</v>
      </c>
      <c r="K532" s="64">
        <v>2063324</v>
      </c>
      <c r="L532" s="61"/>
      <c r="M532" s="65" t="s">
        <v>224</v>
      </c>
      <c r="N532" s="61"/>
      <c r="O532" s="61"/>
      <c r="P532" s="61"/>
      <c r="Q532" s="61"/>
      <c r="R532" s="61">
        <v>548500</v>
      </c>
      <c r="S532" s="66" t="s">
        <v>783</v>
      </c>
    </row>
    <row r="533" spans="1:19">
      <c r="A533" s="61" t="s">
        <v>314</v>
      </c>
      <c r="B533" s="62">
        <v>46122</v>
      </c>
      <c r="C533" s="63" t="s">
        <v>2730</v>
      </c>
      <c r="D533" s="67"/>
      <c r="E533" s="67">
        <v>-42405</v>
      </c>
      <c r="F533" s="61" t="str">
        <f t="shared" si="8"/>
        <v>借</v>
      </c>
      <c r="G533" s="64">
        <f>SUM(D$6:E533)</f>
        <v>44478052</v>
      </c>
      <c r="H533" s="61"/>
      <c r="I533" s="61" t="s">
        <v>2731</v>
      </c>
      <c r="J533" s="61" t="s">
        <v>114</v>
      </c>
      <c r="K533" s="64">
        <v>-42405</v>
      </c>
      <c r="L533" s="61"/>
      <c r="M533" s="65" t="s">
        <v>318</v>
      </c>
      <c r="N533" s="61"/>
      <c r="O533" s="61"/>
      <c r="P533" s="61"/>
      <c r="Q533" s="61"/>
      <c r="R533" s="61">
        <v>548780</v>
      </c>
      <c r="S533" s="66" t="s">
        <v>843</v>
      </c>
    </row>
    <row r="534" spans="1:19">
      <c r="A534" s="61" t="s">
        <v>314</v>
      </c>
      <c r="B534" s="62">
        <v>46122</v>
      </c>
      <c r="C534" s="63" t="s">
        <v>2732</v>
      </c>
      <c r="D534" s="67"/>
      <c r="E534" s="67">
        <v>-3000</v>
      </c>
      <c r="F534" s="61" t="str">
        <f t="shared" si="8"/>
        <v>借</v>
      </c>
      <c r="G534" s="64">
        <f>SUM(D$6:E534)</f>
        <v>44475052</v>
      </c>
      <c r="H534" s="61"/>
      <c r="I534" s="61" t="s">
        <v>2733</v>
      </c>
      <c r="J534" s="61" t="s">
        <v>114</v>
      </c>
      <c r="K534" s="64">
        <v>-3000</v>
      </c>
      <c r="L534" s="61"/>
      <c r="M534" s="65" t="s">
        <v>330</v>
      </c>
      <c r="N534" s="61"/>
      <c r="O534" s="61"/>
      <c r="P534" s="61"/>
      <c r="Q534" s="61"/>
      <c r="R534" s="61">
        <v>548780</v>
      </c>
      <c r="S534" s="66" t="s">
        <v>843</v>
      </c>
    </row>
    <row r="535" spans="1:19">
      <c r="A535" s="61" t="s">
        <v>314</v>
      </c>
      <c r="B535" s="62">
        <v>46122</v>
      </c>
      <c r="C535" s="63" t="s">
        <v>2734</v>
      </c>
      <c r="D535" s="67"/>
      <c r="E535" s="67">
        <v>-4130</v>
      </c>
      <c r="F535" s="61" t="str">
        <f t="shared" si="8"/>
        <v>借</v>
      </c>
      <c r="G535" s="64">
        <f>SUM(D$6:E535)</f>
        <v>44470922</v>
      </c>
      <c r="H535" s="61"/>
      <c r="I535" s="61" t="s">
        <v>2735</v>
      </c>
      <c r="J535" s="61" t="s">
        <v>114</v>
      </c>
      <c r="K535" s="64">
        <v>-4130</v>
      </c>
      <c r="L535" s="61"/>
      <c r="M535" s="65" t="s">
        <v>272</v>
      </c>
      <c r="N535" s="61"/>
      <c r="O535" s="61"/>
      <c r="P535" s="61"/>
      <c r="Q535" s="61"/>
      <c r="R535" s="61">
        <v>548780</v>
      </c>
      <c r="S535" s="66" t="s">
        <v>843</v>
      </c>
    </row>
    <row r="536" spans="1:19">
      <c r="A536" s="61" t="s">
        <v>314</v>
      </c>
      <c r="B536" s="62">
        <v>46122</v>
      </c>
      <c r="C536" s="63" t="s">
        <v>2736</v>
      </c>
      <c r="D536" s="67"/>
      <c r="E536" s="67">
        <v>-16965</v>
      </c>
      <c r="F536" s="61" t="str">
        <f t="shared" si="8"/>
        <v>借</v>
      </c>
      <c r="G536" s="64">
        <f>SUM(D$6:E536)</f>
        <v>44453957</v>
      </c>
      <c r="H536" s="61"/>
      <c r="I536" s="61" t="s">
        <v>2737</v>
      </c>
      <c r="J536" s="61" t="s">
        <v>114</v>
      </c>
      <c r="K536" s="64">
        <v>-16965</v>
      </c>
      <c r="L536" s="61"/>
      <c r="M536" s="65" t="s">
        <v>368</v>
      </c>
      <c r="N536" s="61"/>
      <c r="O536" s="61"/>
      <c r="P536" s="61"/>
      <c r="Q536" s="61"/>
      <c r="R536" s="61">
        <v>548780</v>
      </c>
      <c r="S536" s="66" t="s">
        <v>843</v>
      </c>
    </row>
    <row r="537" spans="1:19">
      <c r="A537" s="61" t="s">
        <v>314</v>
      </c>
      <c r="B537" s="62">
        <v>46122</v>
      </c>
      <c r="C537" s="63" t="s">
        <v>2738</v>
      </c>
      <c r="D537" s="67"/>
      <c r="E537" s="67">
        <v>-30135</v>
      </c>
      <c r="F537" s="61" t="str">
        <f t="shared" si="8"/>
        <v>借</v>
      </c>
      <c r="G537" s="64">
        <f>SUM(D$6:E537)</f>
        <v>44423822</v>
      </c>
      <c r="H537" s="61"/>
      <c r="I537" s="61" t="s">
        <v>2739</v>
      </c>
      <c r="J537" s="61" t="s">
        <v>114</v>
      </c>
      <c r="K537" s="64">
        <v>-30135</v>
      </c>
      <c r="L537" s="61"/>
      <c r="M537" s="65" t="s">
        <v>291</v>
      </c>
      <c r="N537" s="61"/>
      <c r="O537" s="61"/>
      <c r="P537" s="61"/>
      <c r="Q537" s="61"/>
      <c r="R537" s="61">
        <v>548780</v>
      </c>
      <c r="S537" s="66" t="s">
        <v>843</v>
      </c>
    </row>
    <row r="538" spans="1:19">
      <c r="A538" s="61" t="s">
        <v>314</v>
      </c>
      <c r="B538" s="62">
        <v>46122</v>
      </c>
      <c r="C538" s="63" t="s">
        <v>2740</v>
      </c>
      <c r="D538" s="67"/>
      <c r="E538" s="67">
        <v>-47200</v>
      </c>
      <c r="F538" s="61" t="str">
        <f t="shared" si="8"/>
        <v>借</v>
      </c>
      <c r="G538" s="64">
        <f>SUM(D$6:E538)</f>
        <v>44376622</v>
      </c>
      <c r="H538" s="61"/>
      <c r="I538" s="61" t="s">
        <v>2741</v>
      </c>
      <c r="J538" s="61" t="s">
        <v>114</v>
      </c>
      <c r="K538" s="64">
        <v>-47200</v>
      </c>
      <c r="L538" s="61"/>
      <c r="M538" s="65" t="s">
        <v>295</v>
      </c>
      <c r="N538" s="61"/>
      <c r="O538" s="61"/>
      <c r="P538" s="61"/>
      <c r="Q538" s="61"/>
      <c r="R538" s="61">
        <v>548780</v>
      </c>
      <c r="S538" s="66" t="s">
        <v>843</v>
      </c>
    </row>
    <row r="539" spans="1:19">
      <c r="A539" s="61" t="s">
        <v>314</v>
      </c>
      <c r="B539" s="62">
        <v>46122</v>
      </c>
      <c r="C539" s="63" t="s">
        <v>2742</v>
      </c>
      <c r="D539" s="67"/>
      <c r="E539" s="67">
        <v>-28008</v>
      </c>
      <c r="F539" s="61" t="str">
        <f t="shared" si="8"/>
        <v>借</v>
      </c>
      <c r="G539" s="64">
        <f>SUM(D$6:E539)</f>
        <v>44348614</v>
      </c>
      <c r="H539" s="61"/>
      <c r="I539" s="61" t="s">
        <v>2743</v>
      </c>
      <c r="J539" s="61" t="s">
        <v>114</v>
      </c>
      <c r="K539" s="64">
        <v>-28008</v>
      </c>
      <c r="L539" s="61"/>
      <c r="M539" s="65" t="s">
        <v>1147</v>
      </c>
      <c r="N539" s="61"/>
      <c r="O539" s="61"/>
      <c r="P539" s="61"/>
      <c r="Q539" s="61"/>
      <c r="R539" s="61">
        <v>548780</v>
      </c>
      <c r="S539" s="66" t="s">
        <v>843</v>
      </c>
    </row>
    <row r="540" spans="1:19">
      <c r="A540" s="61" t="s">
        <v>314</v>
      </c>
      <c r="B540" s="62">
        <v>46122</v>
      </c>
      <c r="C540" s="63" t="s">
        <v>2744</v>
      </c>
      <c r="D540" s="67"/>
      <c r="E540" s="67">
        <v>-49000</v>
      </c>
      <c r="F540" s="61" t="str">
        <f t="shared" si="8"/>
        <v>借</v>
      </c>
      <c r="G540" s="64">
        <f>SUM(D$6:E540)</f>
        <v>44299614</v>
      </c>
      <c r="H540" s="61"/>
      <c r="I540" s="61" t="s">
        <v>2745</v>
      </c>
      <c r="J540" s="61" t="s">
        <v>114</v>
      </c>
      <c r="K540" s="64">
        <v>-49000</v>
      </c>
      <c r="L540" s="61"/>
      <c r="M540" s="65" t="s">
        <v>376</v>
      </c>
      <c r="N540" s="61"/>
      <c r="O540" s="61"/>
      <c r="P540" s="61"/>
      <c r="Q540" s="61"/>
      <c r="R540" s="61">
        <v>548780</v>
      </c>
      <c r="S540" s="66" t="s">
        <v>843</v>
      </c>
    </row>
    <row r="541" spans="1:19">
      <c r="A541" s="61" t="s">
        <v>314</v>
      </c>
      <c r="B541" s="62">
        <v>46122</v>
      </c>
      <c r="C541" s="63" t="s">
        <v>2746</v>
      </c>
      <c r="D541" s="67"/>
      <c r="E541" s="67">
        <v>-34410</v>
      </c>
      <c r="F541" s="61" t="str">
        <f t="shared" si="8"/>
        <v>借</v>
      </c>
      <c r="G541" s="64">
        <f>SUM(D$6:E541)</f>
        <v>44265204</v>
      </c>
      <c r="H541" s="61"/>
      <c r="I541" s="61" t="s">
        <v>2747</v>
      </c>
      <c r="J541" s="61" t="s">
        <v>114</v>
      </c>
      <c r="K541" s="64">
        <v>-34410</v>
      </c>
      <c r="L541" s="61"/>
      <c r="M541" s="65" t="s">
        <v>928</v>
      </c>
      <c r="N541" s="61"/>
      <c r="O541" s="61"/>
      <c r="P541" s="61"/>
      <c r="Q541" s="61"/>
      <c r="R541" s="61">
        <v>548780</v>
      </c>
      <c r="S541" s="66" t="s">
        <v>843</v>
      </c>
    </row>
    <row r="542" spans="1:19">
      <c r="A542" s="61" t="s">
        <v>314</v>
      </c>
      <c r="B542" s="62">
        <v>46122</v>
      </c>
      <c r="C542" s="63" t="s">
        <v>2748</v>
      </c>
      <c r="D542" s="67"/>
      <c r="E542" s="67">
        <v>-30003</v>
      </c>
      <c r="F542" s="61" t="str">
        <f t="shared" si="8"/>
        <v>借</v>
      </c>
      <c r="G542" s="64">
        <f>SUM(D$6:E542)</f>
        <v>44235201</v>
      </c>
      <c r="H542" s="61"/>
      <c r="I542" s="61" t="s">
        <v>2749</v>
      </c>
      <c r="J542" s="61" t="s">
        <v>114</v>
      </c>
      <c r="K542" s="64">
        <v>-30003</v>
      </c>
      <c r="L542" s="61"/>
      <c r="M542" s="65" t="s">
        <v>929</v>
      </c>
      <c r="N542" s="61"/>
      <c r="O542" s="61"/>
      <c r="P542" s="61"/>
      <c r="Q542" s="61"/>
      <c r="R542" s="61">
        <v>548780</v>
      </c>
      <c r="S542" s="66" t="s">
        <v>843</v>
      </c>
    </row>
    <row r="543" spans="1:19">
      <c r="A543" s="61" t="s">
        <v>314</v>
      </c>
      <c r="B543" s="62">
        <v>46122</v>
      </c>
      <c r="C543" s="63" t="s">
        <v>2750</v>
      </c>
      <c r="D543" s="67"/>
      <c r="E543" s="67">
        <v>-27000</v>
      </c>
      <c r="F543" s="61" t="str">
        <f t="shared" si="8"/>
        <v>借</v>
      </c>
      <c r="G543" s="64">
        <f>SUM(D$6:E543)</f>
        <v>44208201</v>
      </c>
      <c r="H543" s="61"/>
      <c r="I543" s="61" t="s">
        <v>2751</v>
      </c>
      <c r="J543" s="61" t="s">
        <v>114</v>
      </c>
      <c r="K543" s="64">
        <v>-27000</v>
      </c>
      <c r="L543" s="61"/>
      <c r="M543" s="65" t="s">
        <v>930</v>
      </c>
      <c r="N543" s="61"/>
      <c r="O543" s="61"/>
      <c r="P543" s="61"/>
      <c r="Q543" s="61"/>
      <c r="R543" s="61">
        <v>548780</v>
      </c>
      <c r="S543" s="66" t="s">
        <v>843</v>
      </c>
    </row>
    <row r="544" spans="1:19">
      <c r="A544" s="61" t="s">
        <v>314</v>
      </c>
      <c r="B544" s="62">
        <v>46122</v>
      </c>
      <c r="C544" s="63" t="s">
        <v>2752</v>
      </c>
      <c r="D544" s="67"/>
      <c r="E544" s="67">
        <v>-30010</v>
      </c>
      <c r="F544" s="61" t="str">
        <f t="shared" si="8"/>
        <v>借</v>
      </c>
      <c r="G544" s="64">
        <f>SUM(D$6:E544)</f>
        <v>44178191</v>
      </c>
      <c r="H544" s="61"/>
      <c r="I544" s="61" t="s">
        <v>2753</v>
      </c>
      <c r="J544" s="61" t="s">
        <v>114</v>
      </c>
      <c r="K544" s="64">
        <v>-30010</v>
      </c>
      <c r="L544" s="61"/>
      <c r="M544" s="65" t="s">
        <v>1179</v>
      </c>
      <c r="N544" s="61"/>
      <c r="O544" s="61"/>
      <c r="P544" s="61"/>
      <c r="Q544" s="61"/>
      <c r="R544" s="61">
        <v>548780</v>
      </c>
      <c r="S544" s="66" t="s">
        <v>843</v>
      </c>
    </row>
    <row r="545" spans="1:19">
      <c r="A545" s="61" t="s">
        <v>314</v>
      </c>
      <c r="B545" s="62">
        <v>46122</v>
      </c>
      <c r="C545" s="63" t="s">
        <v>2754</v>
      </c>
      <c r="D545" s="67"/>
      <c r="E545" s="67">
        <v>-3000</v>
      </c>
      <c r="F545" s="61" t="str">
        <f t="shared" si="8"/>
        <v>借</v>
      </c>
      <c r="G545" s="64">
        <f>SUM(D$6:E545)</f>
        <v>44175191</v>
      </c>
      <c r="H545" s="61"/>
      <c r="I545" s="61" t="s">
        <v>2755</v>
      </c>
      <c r="J545" s="61" t="s">
        <v>114</v>
      </c>
      <c r="K545" s="64">
        <v>-3000</v>
      </c>
      <c r="L545" s="61"/>
      <c r="M545" s="65" t="s">
        <v>1148</v>
      </c>
      <c r="N545" s="61"/>
      <c r="O545" s="61"/>
      <c r="P545" s="61"/>
      <c r="Q545" s="61"/>
      <c r="R545" s="61">
        <v>548780</v>
      </c>
      <c r="S545" s="66" t="s">
        <v>843</v>
      </c>
    </row>
    <row r="546" spans="1:19">
      <c r="A546" s="61" t="s">
        <v>314</v>
      </c>
      <c r="B546" s="62">
        <v>46122</v>
      </c>
      <c r="C546" s="63" t="s">
        <v>2756</v>
      </c>
      <c r="D546" s="67"/>
      <c r="E546" s="67">
        <v>-3000</v>
      </c>
      <c r="F546" s="61" t="str">
        <f t="shared" si="8"/>
        <v>借</v>
      </c>
      <c r="G546" s="64">
        <f>SUM(D$6:E546)</f>
        <v>44172191</v>
      </c>
      <c r="H546" s="61"/>
      <c r="I546" s="61" t="s">
        <v>2757</v>
      </c>
      <c r="J546" s="61" t="s">
        <v>114</v>
      </c>
      <c r="K546" s="64">
        <v>-3000</v>
      </c>
      <c r="L546" s="61"/>
      <c r="M546" s="65" t="s">
        <v>1738</v>
      </c>
      <c r="N546" s="61"/>
      <c r="O546" s="61"/>
      <c r="P546" s="61"/>
      <c r="Q546" s="61"/>
      <c r="R546" s="61">
        <v>548780</v>
      </c>
      <c r="S546" s="66" t="s">
        <v>843</v>
      </c>
    </row>
    <row r="547" spans="1:19">
      <c r="A547" s="61" t="s">
        <v>314</v>
      </c>
      <c r="B547" s="62">
        <v>46122</v>
      </c>
      <c r="C547" s="63" t="s">
        <v>2758</v>
      </c>
      <c r="D547" s="67"/>
      <c r="E547" s="67">
        <v>-46000</v>
      </c>
      <c r="F547" s="61" t="str">
        <f t="shared" si="8"/>
        <v>借</v>
      </c>
      <c r="G547" s="64">
        <f>SUM(D$6:E547)</f>
        <v>44126191</v>
      </c>
      <c r="H547" s="61"/>
      <c r="I547" s="61" t="s">
        <v>2759</v>
      </c>
      <c r="J547" s="61" t="s">
        <v>114</v>
      </c>
      <c r="K547" s="64">
        <v>-46000</v>
      </c>
      <c r="L547" s="61"/>
      <c r="M547" s="65" t="s">
        <v>1633</v>
      </c>
      <c r="N547" s="61"/>
      <c r="O547" s="61"/>
      <c r="P547" s="61"/>
      <c r="Q547" s="61"/>
      <c r="R547" s="61">
        <v>548780</v>
      </c>
      <c r="S547" s="66" t="s">
        <v>843</v>
      </c>
    </row>
    <row r="548" spans="1:19">
      <c r="A548" s="61" t="s">
        <v>314</v>
      </c>
      <c r="B548" s="62">
        <v>46122</v>
      </c>
      <c r="C548" s="63" t="s">
        <v>2760</v>
      </c>
      <c r="D548" s="67"/>
      <c r="E548" s="67">
        <v>-81662</v>
      </c>
      <c r="F548" s="61" t="str">
        <f t="shared" si="8"/>
        <v>借</v>
      </c>
      <c r="G548" s="64">
        <f>SUM(D$6:E548)</f>
        <v>44044529</v>
      </c>
      <c r="H548" s="61"/>
      <c r="I548" s="61" t="s">
        <v>2761</v>
      </c>
      <c r="J548" s="61" t="s">
        <v>114</v>
      </c>
      <c r="K548" s="64">
        <v>-81662</v>
      </c>
      <c r="L548" s="61"/>
      <c r="M548" s="65" t="s">
        <v>1090</v>
      </c>
      <c r="N548" s="61"/>
      <c r="O548" s="61"/>
      <c r="P548" s="61"/>
      <c r="Q548" s="61"/>
      <c r="R548" s="61">
        <v>548780</v>
      </c>
      <c r="S548" s="66" t="s">
        <v>843</v>
      </c>
    </row>
    <row r="549" spans="1:19">
      <c r="A549" s="61" t="s">
        <v>314</v>
      </c>
      <c r="B549" s="62">
        <v>46122</v>
      </c>
      <c r="C549" s="63" t="s">
        <v>2762</v>
      </c>
      <c r="D549" s="67"/>
      <c r="E549" s="67">
        <v>-27500</v>
      </c>
      <c r="F549" s="61" t="str">
        <f t="shared" si="8"/>
        <v>借</v>
      </c>
      <c r="G549" s="64">
        <f>SUM(D$6:E549)</f>
        <v>44017029</v>
      </c>
      <c r="H549" s="61"/>
      <c r="I549" s="61" t="s">
        <v>2763</v>
      </c>
      <c r="J549" s="61" t="s">
        <v>114</v>
      </c>
      <c r="K549" s="64">
        <v>-27500</v>
      </c>
      <c r="L549" s="61"/>
      <c r="M549" s="65" t="s">
        <v>1189</v>
      </c>
      <c r="N549" s="61"/>
      <c r="O549" s="61"/>
      <c r="P549" s="61"/>
      <c r="Q549" s="61"/>
      <c r="R549" s="61">
        <v>548780</v>
      </c>
      <c r="S549" s="66" t="s">
        <v>843</v>
      </c>
    </row>
    <row r="550" spans="1:19">
      <c r="A550" s="61" t="s">
        <v>314</v>
      </c>
      <c r="B550" s="62">
        <v>46122</v>
      </c>
      <c r="C550" s="63" t="s">
        <v>2764</v>
      </c>
      <c r="D550" s="67"/>
      <c r="E550" s="67">
        <v>-33600</v>
      </c>
      <c r="F550" s="61" t="str">
        <f t="shared" si="8"/>
        <v>借</v>
      </c>
      <c r="G550" s="64">
        <f>SUM(D$6:E550)</f>
        <v>43983429</v>
      </c>
      <c r="H550" s="61"/>
      <c r="I550" s="61" t="s">
        <v>2765</v>
      </c>
      <c r="J550" s="61" t="s">
        <v>114</v>
      </c>
      <c r="K550" s="64">
        <v>-33600</v>
      </c>
      <c r="L550" s="61"/>
      <c r="M550" s="65" t="s">
        <v>2201</v>
      </c>
      <c r="N550" s="61"/>
      <c r="O550" s="61"/>
      <c r="P550" s="61"/>
      <c r="Q550" s="61"/>
      <c r="R550" s="61">
        <v>548780</v>
      </c>
      <c r="S550" s="66" t="s">
        <v>843</v>
      </c>
    </row>
    <row r="551" spans="1:19">
      <c r="A551" s="61" t="s">
        <v>314</v>
      </c>
      <c r="B551" s="62">
        <v>46122</v>
      </c>
      <c r="C551" s="63" t="s">
        <v>2766</v>
      </c>
      <c r="D551" s="67"/>
      <c r="E551" s="67">
        <v>-5510</v>
      </c>
      <c r="F551" s="61" t="str">
        <f t="shared" si="8"/>
        <v>借</v>
      </c>
      <c r="G551" s="64">
        <f>SUM(D$6:E551)</f>
        <v>43977919</v>
      </c>
      <c r="H551" s="61"/>
      <c r="I551" s="61" t="s">
        <v>2767</v>
      </c>
      <c r="J551" s="61" t="s">
        <v>114</v>
      </c>
      <c r="K551" s="64">
        <v>-5510</v>
      </c>
      <c r="L551" s="61"/>
      <c r="M551" s="65" t="s">
        <v>1146</v>
      </c>
      <c r="N551" s="61"/>
      <c r="O551" s="61"/>
      <c r="P551" s="61"/>
      <c r="Q551" s="61"/>
      <c r="R551" s="61">
        <v>548780</v>
      </c>
      <c r="S551" s="66" t="s">
        <v>843</v>
      </c>
    </row>
    <row r="552" spans="1:19">
      <c r="A552" s="61" t="s">
        <v>314</v>
      </c>
      <c r="B552" s="62">
        <v>46122</v>
      </c>
      <c r="C552" s="63" t="s">
        <v>2768</v>
      </c>
      <c r="D552" s="67"/>
      <c r="E552" s="67">
        <v>-39290</v>
      </c>
      <c r="F552" s="61" t="str">
        <f t="shared" si="8"/>
        <v>借</v>
      </c>
      <c r="G552" s="64">
        <f>SUM(D$6:E552)</f>
        <v>43938629</v>
      </c>
      <c r="H552" s="61"/>
      <c r="I552" s="61" t="s">
        <v>2769</v>
      </c>
      <c r="J552" s="61" t="s">
        <v>114</v>
      </c>
      <c r="K552" s="64">
        <v>-39290</v>
      </c>
      <c r="L552" s="61"/>
      <c r="M552" s="65" t="s">
        <v>1639</v>
      </c>
      <c r="N552" s="61"/>
      <c r="O552" s="61"/>
      <c r="P552" s="61"/>
      <c r="Q552" s="61"/>
      <c r="R552" s="61">
        <v>548780</v>
      </c>
      <c r="S552" s="66" t="s">
        <v>843</v>
      </c>
    </row>
    <row r="553" spans="1:19">
      <c r="A553" s="61" t="s">
        <v>314</v>
      </c>
      <c r="B553" s="62">
        <v>46122</v>
      </c>
      <c r="C553" s="63" t="s">
        <v>2770</v>
      </c>
      <c r="D553" s="67"/>
      <c r="E553" s="67">
        <v>-10135</v>
      </c>
      <c r="F553" s="61" t="str">
        <f t="shared" si="8"/>
        <v>借</v>
      </c>
      <c r="G553" s="64">
        <f>SUM(D$6:E553)</f>
        <v>43928494</v>
      </c>
      <c r="H553" s="61"/>
      <c r="I553" s="61" t="s">
        <v>2771</v>
      </c>
      <c r="J553" s="61" t="s">
        <v>114</v>
      </c>
      <c r="K553" s="64">
        <v>-10135</v>
      </c>
      <c r="L553" s="61"/>
      <c r="M553" s="65" t="s">
        <v>1646</v>
      </c>
      <c r="N553" s="61"/>
      <c r="O553" s="61"/>
      <c r="P553" s="61"/>
      <c r="Q553" s="61"/>
      <c r="R553" s="61">
        <v>548780</v>
      </c>
      <c r="S553" s="66" t="s">
        <v>843</v>
      </c>
    </row>
    <row r="554" spans="1:19">
      <c r="A554" s="61" t="s">
        <v>314</v>
      </c>
      <c r="B554" s="62">
        <v>46122</v>
      </c>
      <c r="C554" s="63" t="s">
        <v>2772</v>
      </c>
      <c r="D554" s="67"/>
      <c r="E554" s="67">
        <v>-8000</v>
      </c>
      <c r="F554" s="61" t="str">
        <f t="shared" si="8"/>
        <v>借</v>
      </c>
      <c r="G554" s="64">
        <f>SUM(D$6:E554)</f>
        <v>43920494</v>
      </c>
      <c r="H554" s="61"/>
      <c r="I554" s="61" t="s">
        <v>2773</v>
      </c>
      <c r="J554" s="61" t="s">
        <v>114</v>
      </c>
      <c r="K554" s="64">
        <v>-8000</v>
      </c>
      <c r="L554" s="61"/>
      <c r="M554" s="65" t="s">
        <v>1674</v>
      </c>
      <c r="N554" s="61"/>
      <c r="O554" s="61"/>
      <c r="P554" s="61"/>
      <c r="Q554" s="61"/>
      <c r="R554" s="61">
        <v>548780</v>
      </c>
      <c r="S554" s="66" t="s">
        <v>843</v>
      </c>
    </row>
    <row r="555" spans="1:19">
      <c r="A555" s="61" t="s">
        <v>314</v>
      </c>
      <c r="B555" s="62">
        <v>46122</v>
      </c>
      <c r="C555" s="63" t="s">
        <v>2774</v>
      </c>
      <c r="D555" s="67"/>
      <c r="E555" s="67">
        <v>-89600</v>
      </c>
      <c r="F555" s="61" t="str">
        <f t="shared" si="8"/>
        <v>借</v>
      </c>
      <c r="G555" s="64">
        <f>SUM(D$6:E555)</f>
        <v>43830894</v>
      </c>
      <c r="H555" s="61"/>
      <c r="I555" s="61" t="s">
        <v>2775</v>
      </c>
      <c r="J555" s="61" t="s">
        <v>114</v>
      </c>
      <c r="K555" s="64">
        <v>-89600</v>
      </c>
      <c r="L555" s="61"/>
      <c r="M555" s="65" t="s">
        <v>1096</v>
      </c>
      <c r="N555" s="61"/>
      <c r="O555" s="61"/>
      <c r="P555" s="61"/>
      <c r="Q555" s="61"/>
      <c r="R555" s="61">
        <v>548780</v>
      </c>
      <c r="S555" s="66" t="s">
        <v>843</v>
      </c>
    </row>
    <row r="556" spans="1:19">
      <c r="A556" s="61" t="s">
        <v>314</v>
      </c>
      <c r="B556" s="62">
        <v>46122</v>
      </c>
      <c r="C556" s="63" t="s">
        <v>2776</v>
      </c>
      <c r="D556" s="67"/>
      <c r="E556" s="67">
        <v>-12000</v>
      </c>
      <c r="F556" s="61" t="str">
        <f t="shared" si="8"/>
        <v>借</v>
      </c>
      <c r="G556" s="64">
        <f>SUM(D$6:E556)</f>
        <v>43818894</v>
      </c>
      <c r="H556" s="61"/>
      <c r="I556" s="61" t="s">
        <v>2777</v>
      </c>
      <c r="J556" s="61" t="s">
        <v>114</v>
      </c>
      <c r="K556" s="64">
        <v>-12000</v>
      </c>
      <c r="L556" s="61"/>
      <c r="M556" s="65" t="s">
        <v>383</v>
      </c>
      <c r="N556" s="61"/>
      <c r="O556" s="61"/>
      <c r="P556" s="61"/>
      <c r="Q556" s="61"/>
      <c r="R556" s="61">
        <v>548780</v>
      </c>
      <c r="S556" s="66" t="s">
        <v>843</v>
      </c>
    </row>
    <row r="557" spans="1:19">
      <c r="A557" s="61" t="s">
        <v>314</v>
      </c>
      <c r="B557" s="62">
        <v>46122</v>
      </c>
      <c r="C557" s="63" t="s">
        <v>2778</v>
      </c>
      <c r="D557" s="67"/>
      <c r="E557" s="67">
        <v>-30000</v>
      </c>
      <c r="F557" s="61" t="str">
        <f t="shared" si="8"/>
        <v>借</v>
      </c>
      <c r="G557" s="64">
        <f>SUM(D$6:E557)</f>
        <v>43788894</v>
      </c>
      <c r="H557" s="61" t="s">
        <v>336</v>
      </c>
      <c r="I557" s="61" t="s">
        <v>2779</v>
      </c>
      <c r="J557" s="61" t="s">
        <v>114</v>
      </c>
      <c r="K557" s="64">
        <v>-30000</v>
      </c>
      <c r="L557" s="61"/>
      <c r="M557" s="65" t="s">
        <v>1305</v>
      </c>
      <c r="N557" s="61"/>
      <c r="O557" s="61"/>
      <c r="P557" s="61"/>
      <c r="Q557" s="61"/>
      <c r="R557" s="61">
        <v>548627</v>
      </c>
      <c r="S557" s="66" t="s">
        <v>843</v>
      </c>
    </row>
    <row r="558" spans="1:19">
      <c r="A558" s="61" t="s">
        <v>314</v>
      </c>
      <c r="B558" s="62">
        <v>46122</v>
      </c>
      <c r="C558" s="63" t="s">
        <v>2780</v>
      </c>
      <c r="D558" s="67"/>
      <c r="E558" s="67">
        <v>-30000</v>
      </c>
      <c r="F558" s="61" t="str">
        <f t="shared" si="8"/>
        <v>借</v>
      </c>
      <c r="G558" s="64">
        <f>SUM(D$6:E558)</f>
        <v>43758894</v>
      </c>
      <c r="H558" s="61" t="s">
        <v>336</v>
      </c>
      <c r="I558" s="61" t="s">
        <v>2781</v>
      </c>
      <c r="J558" s="61" t="s">
        <v>114</v>
      </c>
      <c r="K558" s="64">
        <v>-30000</v>
      </c>
      <c r="L558" s="61"/>
      <c r="M558" s="65" t="s">
        <v>1305</v>
      </c>
      <c r="N558" s="61"/>
      <c r="O558" s="61"/>
      <c r="P558" s="61"/>
      <c r="Q558" s="61"/>
      <c r="R558" s="61">
        <v>548627</v>
      </c>
      <c r="S558" s="66" t="s">
        <v>843</v>
      </c>
    </row>
    <row r="559" spans="1:19">
      <c r="A559" s="61" t="s">
        <v>314</v>
      </c>
      <c r="B559" s="62">
        <v>46122</v>
      </c>
      <c r="C559" s="63" t="s">
        <v>2782</v>
      </c>
      <c r="D559" s="67"/>
      <c r="E559" s="67">
        <v>-150000</v>
      </c>
      <c r="F559" s="61" t="str">
        <f t="shared" si="8"/>
        <v>借</v>
      </c>
      <c r="G559" s="64">
        <f>SUM(D$6:E559)</f>
        <v>43608894</v>
      </c>
      <c r="H559" s="61" t="s">
        <v>332</v>
      </c>
      <c r="I559" s="61" t="s">
        <v>2783</v>
      </c>
      <c r="J559" s="61" t="s">
        <v>114</v>
      </c>
      <c r="K559" s="64">
        <v>-150000</v>
      </c>
      <c r="L559" s="61"/>
      <c r="M559" s="65" t="s">
        <v>1889</v>
      </c>
      <c r="N559" s="61"/>
      <c r="O559" s="61"/>
      <c r="P559" s="61"/>
      <c r="Q559" s="61"/>
      <c r="R559" s="61">
        <v>548627</v>
      </c>
      <c r="S559" s="66" t="s">
        <v>843</v>
      </c>
    </row>
    <row r="560" spans="1:19">
      <c r="A560" s="61" t="s">
        <v>314</v>
      </c>
      <c r="B560" s="62">
        <v>46122</v>
      </c>
      <c r="C560" s="63" t="s">
        <v>2784</v>
      </c>
      <c r="D560" s="67"/>
      <c r="E560" s="67">
        <v>-25600</v>
      </c>
      <c r="F560" s="61" t="str">
        <f t="shared" si="8"/>
        <v>借</v>
      </c>
      <c r="G560" s="64">
        <f>SUM(D$6:E560)</f>
        <v>43583294</v>
      </c>
      <c r="H560" s="61" t="s">
        <v>336</v>
      </c>
      <c r="I560" s="61" t="s">
        <v>2785</v>
      </c>
      <c r="J560" s="61" t="s">
        <v>114</v>
      </c>
      <c r="K560" s="64">
        <v>-25600</v>
      </c>
      <c r="L560" s="61"/>
      <c r="M560" s="65" t="s">
        <v>2455</v>
      </c>
      <c r="N560" s="61"/>
      <c r="O560" s="61"/>
      <c r="P560" s="61"/>
      <c r="Q560" s="61"/>
      <c r="R560" s="61">
        <v>548627</v>
      </c>
      <c r="S560" s="66" t="s">
        <v>843</v>
      </c>
    </row>
    <row r="561" spans="1:19">
      <c r="A561" s="61" t="s">
        <v>314</v>
      </c>
      <c r="B561" s="62">
        <v>46122</v>
      </c>
      <c r="C561" s="63" t="s">
        <v>2786</v>
      </c>
      <c r="D561" s="67"/>
      <c r="E561" s="67">
        <v>-94255</v>
      </c>
      <c r="F561" s="61" t="str">
        <f t="shared" si="8"/>
        <v>借</v>
      </c>
      <c r="G561" s="64">
        <f>SUM(D$6:E561)</f>
        <v>43489039</v>
      </c>
      <c r="H561" s="61"/>
      <c r="I561" s="61" t="s">
        <v>2787</v>
      </c>
      <c r="J561" s="61" t="s">
        <v>236</v>
      </c>
      <c r="K561" s="64">
        <v>-2960.98</v>
      </c>
      <c r="L561" s="61"/>
      <c r="M561" s="65" t="s">
        <v>224</v>
      </c>
      <c r="N561" s="61"/>
      <c r="O561" s="61"/>
      <c r="P561" s="61"/>
      <c r="Q561" s="61"/>
      <c r="R561" s="61">
        <v>548648</v>
      </c>
      <c r="S561" s="66" t="s">
        <v>237</v>
      </c>
    </row>
    <row r="562" spans="1:19">
      <c r="A562" s="61" t="s">
        <v>314</v>
      </c>
      <c r="B562" s="62">
        <v>46125</v>
      </c>
      <c r="C562" s="63" t="s">
        <v>2788</v>
      </c>
      <c r="D562" s="67"/>
      <c r="E562" s="67">
        <v>-269400</v>
      </c>
      <c r="F562" s="61" t="str">
        <f t="shared" si="8"/>
        <v>借</v>
      </c>
      <c r="G562" s="64">
        <f>SUM(D$6:E562)</f>
        <v>43219639</v>
      </c>
      <c r="H562" s="61" t="s">
        <v>1132</v>
      </c>
      <c r="I562" s="61" t="s">
        <v>2789</v>
      </c>
      <c r="J562" s="61" t="s">
        <v>114</v>
      </c>
      <c r="K562" s="64">
        <v>-269400</v>
      </c>
      <c r="L562" s="61"/>
      <c r="M562" s="65" t="s">
        <v>2389</v>
      </c>
      <c r="N562" s="61"/>
      <c r="O562" s="61"/>
      <c r="P562" s="61"/>
      <c r="Q562" s="61"/>
      <c r="R562" s="61">
        <v>548628</v>
      </c>
      <c r="S562" s="66" t="s">
        <v>843</v>
      </c>
    </row>
    <row r="563" spans="1:19">
      <c r="A563" s="61" t="s">
        <v>314</v>
      </c>
      <c r="B563" s="62">
        <v>46125</v>
      </c>
      <c r="C563" s="63" t="s">
        <v>2790</v>
      </c>
      <c r="D563" s="67"/>
      <c r="E563" s="67">
        <v>-3004</v>
      </c>
      <c r="F563" s="61" t="str">
        <f t="shared" si="8"/>
        <v>借</v>
      </c>
      <c r="G563" s="64">
        <f>SUM(D$6:E563)</f>
        <v>43216635</v>
      </c>
      <c r="H563" s="61"/>
      <c r="I563" s="61" t="s">
        <v>2791</v>
      </c>
      <c r="J563" s="61" t="s">
        <v>114</v>
      </c>
      <c r="K563" s="64">
        <v>-3004</v>
      </c>
      <c r="L563" s="61"/>
      <c r="M563" s="65" t="s">
        <v>353</v>
      </c>
      <c r="N563" s="61"/>
      <c r="O563" s="61"/>
      <c r="P563" s="61"/>
      <c r="Q563" s="61"/>
      <c r="R563" s="61">
        <v>548781</v>
      </c>
      <c r="S563" s="66" t="s">
        <v>843</v>
      </c>
    </row>
    <row r="564" spans="1:19">
      <c r="A564" s="61" t="s">
        <v>314</v>
      </c>
      <c r="B564" s="62">
        <v>46125</v>
      </c>
      <c r="C564" s="63" t="s">
        <v>2792</v>
      </c>
      <c r="D564" s="67"/>
      <c r="E564" s="67">
        <v>-3000</v>
      </c>
      <c r="F564" s="61" t="str">
        <f t="shared" si="8"/>
        <v>借</v>
      </c>
      <c r="G564" s="64">
        <f>SUM(D$6:E564)</f>
        <v>43213635</v>
      </c>
      <c r="H564" s="61"/>
      <c r="I564" s="61" t="s">
        <v>2793</v>
      </c>
      <c r="J564" s="61" t="s">
        <v>114</v>
      </c>
      <c r="K564" s="64">
        <v>-3000</v>
      </c>
      <c r="L564" s="61"/>
      <c r="M564" s="65" t="s">
        <v>1191</v>
      </c>
      <c r="N564" s="61"/>
      <c r="O564" s="61"/>
      <c r="P564" s="61"/>
      <c r="Q564" s="61"/>
      <c r="R564" s="61">
        <v>548781</v>
      </c>
      <c r="S564" s="66" t="s">
        <v>843</v>
      </c>
    </row>
    <row r="565" spans="1:19">
      <c r="A565" s="61" t="s">
        <v>314</v>
      </c>
      <c r="B565" s="62">
        <v>46125</v>
      </c>
      <c r="C565" s="63" t="s">
        <v>2794</v>
      </c>
      <c r="D565" s="67"/>
      <c r="E565" s="67">
        <v>-8000</v>
      </c>
      <c r="F565" s="61" t="str">
        <f t="shared" si="8"/>
        <v>借</v>
      </c>
      <c r="G565" s="64">
        <f>SUM(D$6:E565)</f>
        <v>43205635</v>
      </c>
      <c r="H565" s="61"/>
      <c r="I565" s="61" t="s">
        <v>2795</v>
      </c>
      <c r="J565" s="61" t="s">
        <v>114</v>
      </c>
      <c r="K565" s="64">
        <v>-8000</v>
      </c>
      <c r="L565" s="61"/>
      <c r="M565" s="65" t="s">
        <v>1644</v>
      </c>
      <c r="N565" s="61"/>
      <c r="O565" s="61"/>
      <c r="P565" s="61"/>
      <c r="Q565" s="61"/>
      <c r="R565" s="61">
        <v>548781</v>
      </c>
      <c r="S565" s="66" t="s">
        <v>843</v>
      </c>
    </row>
    <row r="566" spans="1:19">
      <c r="A566" s="61" t="s">
        <v>314</v>
      </c>
      <c r="B566" s="62">
        <v>46125</v>
      </c>
      <c r="C566" s="63" t="s">
        <v>2796</v>
      </c>
      <c r="D566" s="67"/>
      <c r="E566" s="67">
        <v>-9410</v>
      </c>
      <c r="F566" s="61" t="str">
        <f t="shared" si="8"/>
        <v>借</v>
      </c>
      <c r="G566" s="64">
        <f>SUM(D$6:E566)</f>
        <v>43196225</v>
      </c>
      <c r="H566" s="61"/>
      <c r="I566" s="61" t="s">
        <v>2797</v>
      </c>
      <c r="J566" s="61" t="s">
        <v>114</v>
      </c>
      <c r="K566" s="64">
        <v>-9410</v>
      </c>
      <c r="L566" s="61"/>
      <c r="M566" s="65" t="s">
        <v>1691</v>
      </c>
      <c r="N566" s="61"/>
      <c r="O566" s="61"/>
      <c r="P566" s="61"/>
      <c r="Q566" s="61"/>
      <c r="R566" s="61">
        <v>548781</v>
      </c>
      <c r="S566" s="66" t="s">
        <v>843</v>
      </c>
    </row>
    <row r="567" spans="1:19">
      <c r="A567" s="61" t="s">
        <v>314</v>
      </c>
      <c r="B567" s="62">
        <v>46126</v>
      </c>
      <c r="C567" s="63" t="s">
        <v>2798</v>
      </c>
      <c r="D567" s="67">
        <v>24000</v>
      </c>
      <c r="E567" s="67"/>
      <c r="F567" s="61" t="str">
        <f t="shared" si="8"/>
        <v>借</v>
      </c>
      <c r="G567" s="64">
        <f>SUM(D$6:E567)</f>
        <v>43220225</v>
      </c>
      <c r="H567" s="61" t="s">
        <v>335</v>
      </c>
      <c r="I567" s="61" t="s">
        <v>2799</v>
      </c>
      <c r="J567" s="61" t="s">
        <v>114</v>
      </c>
      <c r="K567" s="64">
        <v>24000</v>
      </c>
      <c r="L567" s="61"/>
      <c r="M567" s="65" t="s">
        <v>2484</v>
      </c>
      <c r="N567" s="61"/>
      <c r="O567" s="61"/>
      <c r="P567" s="61"/>
      <c r="Q567" s="61"/>
      <c r="R567" s="61">
        <v>548629</v>
      </c>
      <c r="S567" s="66" t="s">
        <v>843</v>
      </c>
    </row>
    <row r="568" spans="1:19" ht="17.25" thickBot="1">
      <c r="A568" s="52"/>
      <c r="B568" s="52" t="s">
        <v>115</v>
      </c>
      <c r="C568" s="52"/>
      <c r="D568" s="53">
        <f>SUBTOTAL(9,D7:D567)</f>
        <v>45753434</v>
      </c>
      <c r="E568" s="53">
        <f>SUBTOTAL(9,E7:E567)</f>
        <v>-2533209</v>
      </c>
      <c r="F568" s="52" t="str">
        <f t="shared" si="8"/>
        <v>借</v>
      </c>
      <c r="G568" s="54">
        <f>G567</f>
        <v>43220225</v>
      </c>
      <c r="H568" s="52"/>
      <c r="I568" s="55"/>
      <c r="J568" s="55"/>
      <c r="K568" s="54">
        <f>SUBTOTAL(9,K7:K567)</f>
        <v>377540676.88000005</v>
      </c>
      <c r="L568" s="52"/>
      <c r="M568" s="52" t="s">
        <v>117</v>
      </c>
      <c r="N568" s="52" t="str">
        <f>IF(O568&gt;0,"借","貸")</f>
        <v>借</v>
      </c>
      <c r="O568" s="56">
        <v>43220225</v>
      </c>
      <c r="P568" s="52" t="s">
        <v>118</v>
      </c>
      <c r="Q568" s="56">
        <f>O568-G568</f>
        <v>0</v>
      </c>
      <c r="R568" s="52"/>
      <c r="S568" s="55"/>
    </row>
  </sheetData>
  <autoFilter ref="A5:AR893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F903A0BD-04E6-4A70-8B69-2EE206C08E94}">
      <formula1>0</formula1>
      <formula2>300</formula2>
    </dataValidation>
    <dataValidation type="textLength" errorStyle="information" allowBlank="1" showInputMessage="1" showErrorMessage="1" error="XLBVal:6=1200478.000_x000d__x000a_" sqref="G4" xr:uid="{11B50FCD-DE4D-4E83-A8FB-43425AC1D4F4}">
      <formula1>0</formula1>
      <formula2>300</formula2>
    </dataValidation>
    <dataValidation type="textLength" errorStyle="information" allowBlank="1" showInputMessage="1" showErrorMessage="1" error="XLBVal:8=_x000d__x000a_XLBRowCount:8=563_x000d__x000a_XLBColCount:8=19_x000d__x000a_" sqref="A6" xr:uid="{E8FBF793-8F4B-4A52-9F44-4EBBE455C795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D85E0-C80B-42BB-9411-BEF5D5408FE6}">
  <sheetPr codeName="工作表8">
    <pageSetUpPr fitToPage="1"/>
  </sheetPr>
  <dimension ref="A1:AR567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5.75" style="5" hidden="1" customWidth="1" outlineLevel="1"/>
    <col min="2" max="2" width="11.125" style="5" bestFit="1" customWidth="1" collapsed="1"/>
    <col min="3" max="3" width="20.5" style="5" bestFit="1" customWidth="1"/>
    <col min="4" max="4" width="14.375" style="6" bestFit="1" customWidth="1"/>
    <col min="5" max="5" width="13.375" style="6" bestFit="1" customWidth="1"/>
    <col min="6" max="6" width="3.75" style="5" bestFit="1" customWidth="1"/>
    <col min="7" max="7" width="10.875" style="7" bestFit="1" customWidth="1"/>
    <col min="8" max="8" width="6.75" style="5" bestFit="1" customWidth="1"/>
    <col min="9" max="9" width="63.75" style="8" bestFit="1" customWidth="1"/>
    <col min="10" max="10" width="5.75" style="8" bestFit="1" customWidth="1"/>
    <col min="11" max="11" width="15.5" style="9" bestFit="1" customWidth="1"/>
    <col min="12" max="12" width="12.75" style="5" bestFit="1" customWidth="1"/>
    <col min="13" max="13" width="10.12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1024</v>
      </c>
      <c r="D4" s="2" t="s">
        <v>1025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0.000",TargetCell,M_BU,$C4,$C4,M_PRD_FROM,M_PRD_TO,M_DATE,M_T1,M_T1,M_T2,M_T2,M_T3,M_T3,M_T4,M_T4,M_T5,M_T5,M_T6,M_T6,M_T8,M_T8)</f>
        <v>0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/>
      <c r="G6" s="61"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B7" s="61"/>
      <c r="C7" s="61"/>
      <c r="D7" s="67"/>
      <c r="E7" s="67"/>
      <c r="F7" s="61"/>
      <c r="G7" s="61">
        <v>0</v>
      </c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 ht="17.25" thickBot="1">
      <c r="A8" s="44"/>
      <c r="B8" s="44" t="s">
        <v>115</v>
      </c>
      <c r="C8" s="44"/>
      <c r="D8" s="45">
        <f>SUBTOTAL(9,D7:D7)</f>
        <v>0</v>
      </c>
      <c r="E8" s="45">
        <f>SUBTOTAL(9,E7:E7)</f>
        <v>0</v>
      </c>
      <c r="F8" s="44"/>
      <c r="G8" s="44"/>
      <c r="H8" s="44"/>
      <c r="I8" s="44"/>
      <c r="J8" s="44"/>
      <c r="K8" s="47">
        <f>SUBTOTAL(9,K7:K7)</f>
        <v>0</v>
      </c>
      <c r="L8" s="44"/>
      <c r="M8" s="48" t="s">
        <v>117</v>
      </c>
      <c r="N8" s="48" t="str">
        <f>IF(O8&gt;0,"借","貸")</f>
        <v>貸</v>
      </c>
      <c r="O8" s="49">
        <v>0</v>
      </c>
      <c r="P8" s="44" t="s">
        <v>118</v>
      </c>
      <c r="Q8" s="49">
        <f>O8-G8</f>
        <v>0</v>
      </c>
      <c r="R8" s="44"/>
      <c r="S8" s="44"/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  <row r="531" spans="1:1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</row>
    <row r="532" spans="1:1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</row>
    <row r="533" spans="1:1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</row>
    <row r="534" spans="1:1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</row>
    <row r="535" spans="1:1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</row>
    <row r="536" spans="1:1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</row>
    <row r="537" spans="1:1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</row>
    <row r="538" spans="1:1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</row>
    <row r="539" spans="1:1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</row>
    <row r="540" spans="1:1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</row>
    <row r="541" spans="1:1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</row>
    <row r="542" spans="1:1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</row>
    <row r="543" spans="1:1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</row>
    <row r="544" spans="1:1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</row>
    <row r="545" spans="1:1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</row>
    <row r="546" spans="1:1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</row>
    <row r="547" spans="1:1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</row>
    <row r="548" spans="1:1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</row>
    <row r="549" spans="1:1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</row>
    <row r="550" spans="1:1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</row>
    <row r="551" spans="1:1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</row>
    <row r="552" spans="1:1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</row>
    <row r="553" spans="1:1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</row>
    <row r="554" spans="1:1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</row>
    <row r="555" spans="1:1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</row>
    <row r="556" spans="1:1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</row>
    <row r="557" spans="1:1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</row>
    <row r="558" spans="1:1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</row>
    <row r="559" spans="1:1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</row>
    <row r="560" spans="1:1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</row>
    <row r="561" spans="1:1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</row>
    <row r="562" spans="1:1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</row>
    <row r="563" spans="1:1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</row>
    <row r="564" spans="1:1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</row>
    <row r="565" spans="1:1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</row>
    <row r="566" spans="1:1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</row>
    <row r="567" spans="1:1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</row>
  </sheetData>
  <autoFilter ref="A5:AR892" xr:uid="{00000000-0001-0000-0500-000000000000}"/>
  <mergeCells count="3">
    <mergeCell ref="G1:I1"/>
    <mergeCell ref="G2:I2"/>
    <mergeCell ref="G3:I3"/>
  </mergeCells>
  <phoneticPr fontId="1" type="noConversion"/>
  <dataValidations count="2">
    <dataValidation type="textLength" errorStyle="information" allowBlank="1" showInputMessage="1" showErrorMessage="1" error="XLBVal:6=1200478.000_x000d__x000a_" sqref="G4" xr:uid="{60BE71F9-624D-4BFB-B18B-17B37DB8AC8C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 A6:A7" xr:uid="{18A34DE8-823A-41DB-9785-2833E1941CB6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DFE34-F27F-4C61-AAE9-BF80DE0BB88B}">
  <sheetPr codeName="工作表9">
    <pageSetUpPr fitToPage="1"/>
  </sheetPr>
  <dimension ref="A1:AR563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24.375" style="5" hidden="1" customWidth="1" outlineLevel="1"/>
    <col min="2" max="2" width="10" style="5" bestFit="1" customWidth="1" collapsed="1"/>
    <col min="3" max="3" width="20.5" style="5" bestFit="1" customWidth="1"/>
    <col min="4" max="4" width="14.375" style="6" bestFit="1" customWidth="1"/>
    <col min="5" max="5" width="11.625" style="6" bestFit="1" customWidth="1"/>
    <col min="6" max="6" width="3.75" style="5" bestFit="1" customWidth="1"/>
    <col min="7" max="7" width="17" style="7" bestFit="1" customWidth="1"/>
    <col min="8" max="8" width="6.75" style="5" bestFit="1" customWidth="1"/>
    <col min="9" max="9" width="48.25" style="8" bestFit="1" customWidth="1"/>
    <col min="10" max="10" width="5.75" style="8" bestFit="1" customWidth="1"/>
    <col min="11" max="11" width="14.375" style="9" bestFit="1" customWidth="1"/>
    <col min="12" max="12" width="12.75" style="5" bestFit="1" customWidth="1"/>
    <col min="13" max="13" width="9.3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>
        <v>114140</v>
      </c>
      <c r="D4" s="2" t="s">
        <v>394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39014853.000",TargetCell,M_BU,$C4,$C4,M_PRD_FROM,M_PRD_TO,M_DATE,M_T1,M_T1,M_T2,M_T2,M_T3,M_T3,M_T4,M_T4,M_T5,M_T5,M_T6,M_T6,M_T8,M_T8)</f>
        <v>39014853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395</v>
      </c>
      <c r="B7" s="62">
        <v>46059</v>
      </c>
      <c r="C7" s="63" t="s">
        <v>1751</v>
      </c>
      <c r="D7" s="67">
        <v>25000</v>
      </c>
      <c r="E7" s="67"/>
      <c r="F7" s="61" t="str">
        <f t="shared" ref="F7:F44" si="0">IF(G7&gt;0,"借","貸")</f>
        <v>借</v>
      </c>
      <c r="G7" s="64">
        <f>SUM(D$6:E7)</f>
        <v>25000</v>
      </c>
      <c r="H7" s="61"/>
      <c r="I7" s="61" t="s">
        <v>1752</v>
      </c>
      <c r="J7" s="61" t="s">
        <v>114</v>
      </c>
      <c r="K7" s="64">
        <v>25000</v>
      </c>
      <c r="L7" s="61"/>
      <c r="M7" s="65" t="s">
        <v>239</v>
      </c>
      <c r="N7" s="61"/>
      <c r="O7" s="61"/>
      <c r="P7" s="61"/>
      <c r="Q7" s="61"/>
      <c r="R7" s="61">
        <v>537475</v>
      </c>
      <c r="S7" s="66" t="s">
        <v>843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395</v>
      </c>
      <c r="B8" s="62">
        <v>46065</v>
      </c>
      <c r="C8" s="63" t="s">
        <v>1756</v>
      </c>
      <c r="D8" s="67">
        <v>10000</v>
      </c>
      <c r="E8" s="67"/>
      <c r="F8" s="61" t="str">
        <f t="shared" si="0"/>
        <v>借</v>
      </c>
      <c r="G8" s="64">
        <f>SUM(D$6:E8)</f>
        <v>35000</v>
      </c>
      <c r="H8" s="61"/>
      <c r="I8" s="61" t="s">
        <v>1757</v>
      </c>
      <c r="J8" s="61" t="s">
        <v>114</v>
      </c>
      <c r="K8" s="64">
        <v>10000</v>
      </c>
      <c r="L8" s="61"/>
      <c r="M8" s="65" t="s">
        <v>1150</v>
      </c>
      <c r="N8" s="61"/>
      <c r="O8" s="61"/>
      <c r="P8" s="61"/>
      <c r="Q8" s="61"/>
      <c r="R8" s="61">
        <v>538540</v>
      </c>
      <c r="S8" s="66" t="s">
        <v>843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395</v>
      </c>
      <c r="B9" s="62">
        <v>46065</v>
      </c>
      <c r="C9" s="63" t="s">
        <v>1760</v>
      </c>
      <c r="D9" s="67">
        <v>22000</v>
      </c>
      <c r="E9" s="67"/>
      <c r="F9" s="61" t="str">
        <f t="shared" si="0"/>
        <v>借</v>
      </c>
      <c r="G9" s="64">
        <f>SUM(D$6:E9)</f>
        <v>57000</v>
      </c>
      <c r="H9" s="61"/>
      <c r="I9" s="61" t="s">
        <v>1761</v>
      </c>
      <c r="J9" s="61" t="s">
        <v>114</v>
      </c>
      <c r="K9" s="64">
        <v>22000</v>
      </c>
      <c r="L9" s="61"/>
      <c r="M9" s="65" t="s">
        <v>1762</v>
      </c>
      <c r="N9" s="61"/>
      <c r="O9" s="61"/>
      <c r="P9" s="61"/>
      <c r="Q9" s="61"/>
      <c r="R9" s="61">
        <v>538540</v>
      </c>
      <c r="S9" s="66" t="s">
        <v>843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395</v>
      </c>
      <c r="B10" s="62">
        <v>46065</v>
      </c>
      <c r="C10" s="63" t="s">
        <v>1763</v>
      </c>
      <c r="D10" s="67">
        <v>252000</v>
      </c>
      <c r="E10" s="67"/>
      <c r="F10" s="61" t="str">
        <f t="shared" si="0"/>
        <v>借</v>
      </c>
      <c r="G10" s="64">
        <f>SUM(D$6:E10)</f>
        <v>309000</v>
      </c>
      <c r="H10" s="61"/>
      <c r="I10" s="61" t="s">
        <v>1764</v>
      </c>
      <c r="J10" s="61" t="s">
        <v>114</v>
      </c>
      <c r="K10" s="64">
        <v>252000</v>
      </c>
      <c r="L10" s="61"/>
      <c r="M10" s="65" t="s">
        <v>1101</v>
      </c>
      <c r="N10" s="61"/>
      <c r="O10" s="61"/>
      <c r="P10" s="61"/>
      <c r="Q10" s="61"/>
      <c r="R10" s="61">
        <v>538540</v>
      </c>
      <c r="S10" s="66" t="s">
        <v>843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395</v>
      </c>
      <c r="B11" s="62">
        <v>46086</v>
      </c>
      <c r="C11" s="63" t="s">
        <v>2016</v>
      </c>
      <c r="D11" s="67">
        <v>25000</v>
      </c>
      <c r="E11" s="67"/>
      <c r="F11" s="61" t="str">
        <f t="shared" si="0"/>
        <v>借</v>
      </c>
      <c r="G11" s="64">
        <f>SUM(D$6:E11)</f>
        <v>334000</v>
      </c>
      <c r="H11" s="61"/>
      <c r="I11" s="61" t="s">
        <v>2017</v>
      </c>
      <c r="J11" s="61" t="s">
        <v>114</v>
      </c>
      <c r="K11" s="64">
        <v>25000</v>
      </c>
      <c r="L11" s="61"/>
      <c r="M11" s="65" t="s">
        <v>239</v>
      </c>
      <c r="N11" s="61"/>
      <c r="O11" s="61"/>
      <c r="P11" s="61"/>
      <c r="Q11" s="61"/>
      <c r="R11" s="61">
        <v>541561</v>
      </c>
      <c r="S11" s="66" t="s">
        <v>843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395</v>
      </c>
      <c r="B12" s="62">
        <v>46094</v>
      </c>
      <c r="C12" s="63" t="s">
        <v>2800</v>
      </c>
      <c r="D12" s="67">
        <v>44297</v>
      </c>
      <c r="E12" s="67"/>
      <c r="F12" s="61" t="str">
        <f t="shared" si="0"/>
        <v>借</v>
      </c>
      <c r="G12" s="64">
        <f>SUM(D$6:E12)</f>
        <v>378297</v>
      </c>
      <c r="H12" s="61"/>
      <c r="I12" s="61" t="s">
        <v>2801</v>
      </c>
      <c r="J12" s="61" t="s">
        <v>114</v>
      </c>
      <c r="K12" s="64">
        <v>44297</v>
      </c>
      <c r="L12" s="61"/>
      <c r="M12" s="65" t="s">
        <v>396</v>
      </c>
      <c r="N12" s="61"/>
      <c r="O12" s="61"/>
      <c r="P12" s="61"/>
      <c r="Q12" s="61"/>
      <c r="R12" s="61">
        <v>544339</v>
      </c>
      <c r="S12" s="66" t="s">
        <v>843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395</v>
      </c>
      <c r="B13" s="62">
        <v>46094</v>
      </c>
      <c r="C13" s="63" t="s">
        <v>2802</v>
      </c>
      <c r="D13" s="67">
        <v>33322</v>
      </c>
      <c r="E13" s="67"/>
      <c r="F13" s="61" t="str">
        <f t="shared" si="0"/>
        <v>借</v>
      </c>
      <c r="G13" s="64">
        <f>SUM(D$6:E13)</f>
        <v>411619</v>
      </c>
      <c r="H13" s="61"/>
      <c r="I13" s="61" t="s">
        <v>2803</v>
      </c>
      <c r="J13" s="61" t="s">
        <v>114</v>
      </c>
      <c r="K13" s="64">
        <v>33322</v>
      </c>
      <c r="L13" s="61"/>
      <c r="M13" s="65" t="s">
        <v>275</v>
      </c>
      <c r="N13" s="61"/>
      <c r="O13" s="61"/>
      <c r="P13" s="61"/>
      <c r="Q13" s="61"/>
      <c r="R13" s="61">
        <v>544339</v>
      </c>
      <c r="S13" s="66" t="s">
        <v>843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395</v>
      </c>
      <c r="B14" s="62">
        <v>46094</v>
      </c>
      <c r="C14" s="63" t="s">
        <v>2804</v>
      </c>
      <c r="D14" s="67">
        <v>1015</v>
      </c>
      <c r="E14" s="67"/>
      <c r="F14" s="61" t="str">
        <f t="shared" si="0"/>
        <v>借</v>
      </c>
      <c r="G14" s="64">
        <f>SUM(D$6:E14)</f>
        <v>412634</v>
      </c>
      <c r="H14" s="61"/>
      <c r="I14" s="61" t="s">
        <v>2805</v>
      </c>
      <c r="J14" s="61" t="s">
        <v>114</v>
      </c>
      <c r="K14" s="64">
        <v>1015</v>
      </c>
      <c r="L14" s="61"/>
      <c r="M14" s="65" t="s">
        <v>1753</v>
      </c>
      <c r="N14" s="61"/>
      <c r="O14" s="61"/>
      <c r="P14" s="61"/>
      <c r="Q14" s="61"/>
      <c r="R14" s="61">
        <v>544339</v>
      </c>
      <c r="S14" s="66" t="s">
        <v>843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395</v>
      </c>
      <c r="B15" s="62">
        <v>46094</v>
      </c>
      <c r="C15" s="63" t="s">
        <v>2806</v>
      </c>
      <c r="D15" s="67">
        <v>1000</v>
      </c>
      <c r="E15" s="67"/>
      <c r="F15" s="61" t="str">
        <f t="shared" si="0"/>
        <v>借</v>
      </c>
      <c r="G15" s="64">
        <f>SUM(D$6:E15)</f>
        <v>413634</v>
      </c>
      <c r="H15" s="61"/>
      <c r="I15" s="61" t="s">
        <v>2807</v>
      </c>
      <c r="J15" s="61" t="s">
        <v>114</v>
      </c>
      <c r="K15" s="64">
        <v>1000</v>
      </c>
      <c r="L15" s="61"/>
      <c r="M15" s="65" t="s">
        <v>397</v>
      </c>
      <c r="N15" s="61"/>
      <c r="O15" s="61"/>
      <c r="P15" s="61"/>
      <c r="Q15" s="61"/>
      <c r="R15" s="61">
        <v>544339</v>
      </c>
      <c r="S15" s="66" t="s">
        <v>843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395</v>
      </c>
      <c r="B16" s="62">
        <v>46094</v>
      </c>
      <c r="C16" s="63" t="s">
        <v>2808</v>
      </c>
      <c r="D16" s="67">
        <v>132780</v>
      </c>
      <c r="E16" s="67"/>
      <c r="F16" s="61" t="str">
        <f t="shared" si="0"/>
        <v>借</v>
      </c>
      <c r="G16" s="64">
        <f>SUM(D$6:E16)</f>
        <v>546414</v>
      </c>
      <c r="H16" s="61"/>
      <c r="I16" s="61" t="s">
        <v>2809</v>
      </c>
      <c r="J16" s="61" t="s">
        <v>114</v>
      </c>
      <c r="K16" s="64">
        <v>132780</v>
      </c>
      <c r="L16" s="61"/>
      <c r="M16" s="65" t="s">
        <v>1754</v>
      </c>
      <c r="N16" s="61"/>
      <c r="O16" s="61"/>
      <c r="P16" s="61"/>
      <c r="Q16" s="61"/>
      <c r="R16" s="61">
        <v>544339</v>
      </c>
      <c r="S16" s="66" t="s">
        <v>843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395</v>
      </c>
      <c r="B17" s="62">
        <v>46094</v>
      </c>
      <c r="C17" s="63" t="s">
        <v>2810</v>
      </c>
      <c r="D17" s="67">
        <v>42503</v>
      </c>
      <c r="E17" s="67"/>
      <c r="F17" s="61" t="str">
        <f t="shared" si="0"/>
        <v>借</v>
      </c>
      <c r="G17" s="64">
        <f>SUM(D$6:E17)</f>
        <v>588917</v>
      </c>
      <c r="H17" s="61"/>
      <c r="I17" s="61" t="s">
        <v>2811</v>
      </c>
      <c r="J17" s="61" t="s">
        <v>114</v>
      </c>
      <c r="K17" s="64">
        <v>42503</v>
      </c>
      <c r="L17" s="61"/>
      <c r="M17" s="65" t="s">
        <v>1755</v>
      </c>
      <c r="N17" s="61"/>
      <c r="O17" s="61"/>
      <c r="P17" s="61"/>
      <c r="Q17" s="61"/>
      <c r="R17" s="61">
        <v>544339</v>
      </c>
      <c r="S17" s="66" t="s">
        <v>843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395</v>
      </c>
      <c r="B18" s="62">
        <v>46094</v>
      </c>
      <c r="C18" s="63" t="s">
        <v>2812</v>
      </c>
      <c r="D18" s="67">
        <v>3000</v>
      </c>
      <c r="E18" s="67"/>
      <c r="F18" s="61" t="str">
        <f t="shared" si="0"/>
        <v>借</v>
      </c>
      <c r="G18" s="64">
        <f>SUM(D$6:E18)</f>
        <v>591917</v>
      </c>
      <c r="H18" s="61"/>
      <c r="I18" s="61" t="s">
        <v>2813</v>
      </c>
      <c r="J18" s="61" t="s">
        <v>114</v>
      </c>
      <c r="K18" s="64">
        <v>3000</v>
      </c>
      <c r="L18" s="61"/>
      <c r="M18" s="65" t="s">
        <v>1149</v>
      </c>
      <c r="N18" s="61"/>
      <c r="O18" s="61"/>
      <c r="P18" s="61"/>
      <c r="Q18" s="61"/>
      <c r="R18" s="61">
        <v>544339</v>
      </c>
      <c r="S18" s="66" t="s">
        <v>843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395</v>
      </c>
      <c r="B19" s="62">
        <v>46094</v>
      </c>
      <c r="C19" s="63" t="s">
        <v>2814</v>
      </c>
      <c r="D19" s="67">
        <v>10000</v>
      </c>
      <c r="E19" s="67"/>
      <c r="F19" s="61" t="str">
        <f t="shared" si="0"/>
        <v>借</v>
      </c>
      <c r="G19" s="64">
        <f>SUM(D$6:E19)</f>
        <v>601917</v>
      </c>
      <c r="H19" s="61"/>
      <c r="I19" s="61" t="s">
        <v>2815</v>
      </c>
      <c r="J19" s="61" t="s">
        <v>114</v>
      </c>
      <c r="K19" s="64">
        <v>10000</v>
      </c>
      <c r="L19" s="61"/>
      <c r="M19" s="65" t="s">
        <v>1150</v>
      </c>
      <c r="N19" s="61"/>
      <c r="O19" s="61"/>
      <c r="P19" s="61"/>
      <c r="Q19" s="61"/>
      <c r="R19" s="61">
        <v>544339</v>
      </c>
      <c r="S19" s="66" t="s">
        <v>843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395</v>
      </c>
      <c r="B20" s="62">
        <v>46094</v>
      </c>
      <c r="C20" s="63" t="s">
        <v>2816</v>
      </c>
      <c r="D20" s="67">
        <v>10007</v>
      </c>
      <c r="E20" s="67"/>
      <c r="F20" s="61" t="str">
        <f t="shared" si="0"/>
        <v>借</v>
      </c>
      <c r="G20" s="64">
        <f>SUM(D$6:E20)</f>
        <v>611924</v>
      </c>
      <c r="H20" s="61"/>
      <c r="I20" s="61" t="s">
        <v>2817</v>
      </c>
      <c r="J20" s="61" t="s">
        <v>114</v>
      </c>
      <c r="K20" s="64">
        <v>10007</v>
      </c>
      <c r="L20" s="61"/>
      <c r="M20" s="65" t="s">
        <v>1758</v>
      </c>
      <c r="N20" s="61"/>
      <c r="O20" s="61"/>
      <c r="P20" s="61"/>
      <c r="Q20" s="61"/>
      <c r="R20" s="61">
        <v>544339</v>
      </c>
      <c r="S20" s="66" t="s">
        <v>843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395</v>
      </c>
      <c r="B21" s="62">
        <v>46094</v>
      </c>
      <c r="C21" s="63" t="s">
        <v>2818</v>
      </c>
      <c r="D21" s="67">
        <v>40962</v>
      </c>
      <c r="E21" s="67"/>
      <c r="F21" s="61" t="str">
        <f t="shared" si="0"/>
        <v>借</v>
      </c>
      <c r="G21" s="64">
        <f>SUM(D$6:E21)</f>
        <v>652886</v>
      </c>
      <c r="H21" s="61"/>
      <c r="I21" s="61" t="s">
        <v>2819</v>
      </c>
      <c r="J21" s="61" t="s">
        <v>114</v>
      </c>
      <c r="K21" s="64">
        <v>40962</v>
      </c>
      <c r="L21" s="61"/>
      <c r="M21" s="65" t="s">
        <v>1759</v>
      </c>
      <c r="N21" s="61"/>
      <c r="O21" s="61"/>
      <c r="P21" s="61"/>
      <c r="Q21" s="61"/>
      <c r="R21" s="61">
        <v>544339</v>
      </c>
      <c r="S21" s="66" t="s">
        <v>843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395</v>
      </c>
      <c r="B22" s="62">
        <v>46094</v>
      </c>
      <c r="C22" s="63" t="s">
        <v>2820</v>
      </c>
      <c r="D22" s="67">
        <v>1000</v>
      </c>
      <c r="E22" s="67"/>
      <c r="F22" s="61" t="str">
        <f t="shared" si="0"/>
        <v>借</v>
      </c>
      <c r="G22" s="64">
        <f>SUM(D$6:E22)</f>
        <v>653886</v>
      </c>
      <c r="H22" s="61"/>
      <c r="I22" s="61" t="s">
        <v>2821</v>
      </c>
      <c r="J22" s="61" t="s">
        <v>114</v>
      </c>
      <c r="K22" s="64">
        <v>1000</v>
      </c>
      <c r="L22" s="61"/>
      <c r="M22" s="65" t="s">
        <v>1151</v>
      </c>
      <c r="N22" s="61"/>
      <c r="O22" s="61"/>
      <c r="P22" s="61"/>
      <c r="Q22" s="61"/>
      <c r="R22" s="61">
        <v>544339</v>
      </c>
      <c r="S22" s="66" t="s">
        <v>843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395</v>
      </c>
      <c r="B23" s="62">
        <v>46094</v>
      </c>
      <c r="C23" s="63" t="s">
        <v>2822</v>
      </c>
      <c r="D23" s="67">
        <v>22006</v>
      </c>
      <c r="E23" s="67"/>
      <c r="F23" s="61" t="str">
        <f t="shared" si="0"/>
        <v>借</v>
      </c>
      <c r="G23" s="64">
        <f>SUM(D$6:E23)</f>
        <v>675892</v>
      </c>
      <c r="H23" s="61"/>
      <c r="I23" s="61" t="s">
        <v>2823</v>
      </c>
      <c r="J23" s="61" t="s">
        <v>114</v>
      </c>
      <c r="K23" s="64">
        <v>22006</v>
      </c>
      <c r="L23" s="61"/>
      <c r="M23" s="65" t="s">
        <v>1762</v>
      </c>
      <c r="N23" s="61"/>
      <c r="O23" s="61"/>
      <c r="P23" s="61"/>
      <c r="Q23" s="61"/>
      <c r="R23" s="61">
        <v>544339</v>
      </c>
      <c r="S23" s="66" t="s">
        <v>843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395</v>
      </c>
      <c r="B24" s="62">
        <v>46094</v>
      </c>
      <c r="C24" s="63" t="s">
        <v>2824</v>
      </c>
      <c r="D24" s="67">
        <v>254380</v>
      </c>
      <c r="E24" s="67"/>
      <c r="F24" s="61" t="str">
        <f t="shared" si="0"/>
        <v>借</v>
      </c>
      <c r="G24" s="64">
        <f>SUM(D$6:E24)</f>
        <v>930272</v>
      </c>
      <c r="H24" s="61"/>
      <c r="I24" s="61" t="s">
        <v>2825</v>
      </c>
      <c r="J24" s="61" t="s">
        <v>114</v>
      </c>
      <c r="K24" s="64">
        <v>254380</v>
      </c>
      <c r="L24" s="61"/>
      <c r="M24" s="65" t="s">
        <v>1101</v>
      </c>
      <c r="N24" s="61"/>
      <c r="O24" s="61"/>
      <c r="P24" s="61"/>
      <c r="Q24" s="61"/>
      <c r="R24" s="61">
        <v>544339</v>
      </c>
      <c r="S24" s="66" t="s">
        <v>843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395</v>
      </c>
      <c r="B25" s="62">
        <v>46094</v>
      </c>
      <c r="C25" s="63" t="s">
        <v>2826</v>
      </c>
      <c r="D25" s="67">
        <v>174060</v>
      </c>
      <c r="E25" s="67"/>
      <c r="F25" s="61" t="str">
        <f t="shared" si="0"/>
        <v>借</v>
      </c>
      <c r="G25" s="64">
        <f>SUM(D$6:E25)</f>
        <v>1104332</v>
      </c>
      <c r="H25" s="61"/>
      <c r="I25" s="61" t="s">
        <v>2827</v>
      </c>
      <c r="J25" s="61" t="s">
        <v>114</v>
      </c>
      <c r="K25" s="64">
        <v>174060</v>
      </c>
      <c r="L25" s="61"/>
      <c r="M25" s="65" t="s">
        <v>1102</v>
      </c>
      <c r="N25" s="61"/>
      <c r="O25" s="61"/>
      <c r="P25" s="61"/>
      <c r="Q25" s="61"/>
      <c r="R25" s="61">
        <v>544339</v>
      </c>
      <c r="S25" s="66" t="s">
        <v>843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395</v>
      </c>
      <c r="B26" s="62">
        <v>46112</v>
      </c>
      <c r="C26" s="63" t="s">
        <v>2828</v>
      </c>
      <c r="D26" s="67">
        <v>21732332</v>
      </c>
      <c r="E26" s="67"/>
      <c r="F26" s="61" t="str">
        <f t="shared" si="0"/>
        <v>借</v>
      </c>
      <c r="G26" s="64">
        <f>SUM(D$6:E26)</f>
        <v>22836664</v>
      </c>
      <c r="H26" s="61"/>
      <c r="I26" s="61" t="s">
        <v>2829</v>
      </c>
      <c r="J26" s="61" t="s">
        <v>114</v>
      </c>
      <c r="K26" s="64">
        <v>21732332</v>
      </c>
      <c r="L26" s="61"/>
      <c r="M26" s="65" t="s">
        <v>240</v>
      </c>
      <c r="N26" s="61"/>
      <c r="O26" s="61"/>
      <c r="P26" s="61"/>
      <c r="Q26" s="61"/>
      <c r="R26" s="61">
        <v>546670</v>
      </c>
      <c r="S26" s="66" t="s">
        <v>1478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395</v>
      </c>
      <c r="B27" s="62">
        <v>46112</v>
      </c>
      <c r="C27" s="63" t="s">
        <v>2830</v>
      </c>
      <c r="D27" s="67">
        <v>76144</v>
      </c>
      <c r="E27" s="67"/>
      <c r="F27" s="61" t="str">
        <f t="shared" si="0"/>
        <v>借</v>
      </c>
      <c r="G27" s="64">
        <f>SUM(D$6:E27)</f>
        <v>22912808</v>
      </c>
      <c r="H27" s="61"/>
      <c r="I27" s="61" t="s">
        <v>2831</v>
      </c>
      <c r="J27" s="61" t="s">
        <v>114</v>
      </c>
      <c r="K27" s="64">
        <v>76144</v>
      </c>
      <c r="L27" s="61"/>
      <c r="M27" s="65" t="s">
        <v>2832</v>
      </c>
      <c r="N27" s="61"/>
      <c r="O27" s="61"/>
      <c r="P27" s="61"/>
      <c r="Q27" s="61"/>
      <c r="R27" s="61">
        <v>546820</v>
      </c>
      <c r="S27" s="66" t="s">
        <v>843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395</v>
      </c>
      <c r="B28" s="62">
        <v>46112</v>
      </c>
      <c r="C28" s="63" t="s">
        <v>2833</v>
      </c>
      <c r="D28" s="67">
        <v>559453</v>
      </c>
      <c r="E28" s="67"/>
      <c r="F28" s="61" t="str">
        <f t="shared" si="0"/>
        <v>借</v>
      </c>
      <c r="G28" s="64">
        <f>SUM(D$6:E28)</f>
        <v>23472261</v>
      </c>
      <c r="H28" s="61"/>
      <c r="I28" s="61" t="s">
        <v>2834</v>
      </c>
      <c r="J28" s="61" t="s">
        <v>114</v>
      </c>
      <c r="K28" s="64">
        <v>559453</v>
      </c>
      <c r="L28" s="61"/>
      <c r="M28" s="65" t="s">
        <v>242</v>
      </c>
      <c r="N28" s="61"/>
      <c r="O28" s="61"/>
      <c r="P28" s="61"/>
      <c r="Q28" s="61"/>
      <c r="R28" s="61">
        <v>547615</v>
      </c>
      <c r="S28" s="66" t="s">
        <v>843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395</v>
      </c>
      <c r="B29" s="62">
        <v>46112</v>
      </c>
      <c r="C29" s="63" t="s">
        <v>2835</v>
      </c>
      <c r="D29" s="67">
        <v>20800</v>
      </c>
      <c r="E29" s="67"/>
      <c r="F29" s="61" t="str">
        <f t="shared" si="0"/>
        <v>借</v>
      </c>
      <c r="G29" s="64">
        <f>SUM(D$6:E29)</f>
        <v>23493061</v>
      </c>
      <c r="H29" s="61"/>
      <c r="I29" s="61" t="s">
        <v>2836</v>
      </c>
      <c r="J29" s="61" t="s">
        <v>114</v>
      </c>
      <c r="K29" s="64">
        <v>20800</v>
      </c>
      <c r="L29" s="61"/>
      <c r="M29" s="65" t="s">
        <v>242</v>
      </c>
      <c r="N29" s="61"/>
      <c r="O29" s="61"/>
      <c r="P29" s="61"/>
      <c r="Q29" s="61"/>
      <c r="R29" s="61">
        <v>547615</v>
      </c>
      <c r="S29" s="66" t="s">
        <v>843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395</v>
      </c>
      <c r="B30" s="62">
        <v>46112</v>
      </c>
      <c r="C30" s="63" t="s">
        <v>2837</v>
      </c>
      <c r="D30" s="67">
        <v>5000</v>
      </c>
      <c r="E30" s="67"/>
      <c r="F30" s="61" t="str">
        <f t="shared" si="0"/>
        <v>借</v>
      </c>
      <c r="G30" s="64">
        <f>SUM(D$6:E30)</f>
        <v>23498061</v>
      </c>
      <c r="H30" s="61"/>
      <c r="I30" s="61" t="s">
        <v>2838</v>
      </c>
      <c r="J30" s="61" t="s">
        <v>114</v>
      </c>
      <c r="K30" s="64">
        <v>5000</v>
      </c>
      <c r="L30" s="61"/>
      <c r="M30" s="65" t="s">
        <v>242</v>
      </c>
      <c r="N30" s="61"/>
      <c r="O30" s="61"/>
      <c r="P30" s="61"/>
      <c r="Q30" s="61"/>
      <c r="R30" s="61">
        <v>547616</v>
      </c>
      <c r="S30" s="66" t="s">
        <v>1478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395</v>
      </c>
      <c r="B31" s="62">
        <v>46112</v>
      </c>
      <c r="C31" s="63" t="s">
        <v>2839</v>
      </c>
      <c r="D31" s="67">
        <v>4000000</v>
      </c>
      <c r="E31" s="67"/>
      <c r="F31" s="61" t="str">
        <f t="shared" si="0"/>
        <v>借</v>
      </c>
      <c r="G31" s="64">
        <f>SUM(D$6:E31)</f>
        <v>27498061</v>
      </c>
      <c r="H31" s="61"/>
      <c r="I31" s="61" t="s">
        <v>2840</v>
      </c>
      <c r="J31" s="61" t="s">
        <v>114</v>
      </c>
      <c r="K31" s="64">
        <v>4000000</v>
      </c>
      <c r="L31" s="61"/>
      <c r="M31" s="65" t="s">
        <v>242</v>
      </c>
      <c r="N31" s="61"/>
      <c r="O31" s="61"/>
      <c r="P31" s="61"/>
      <c r="Q31" s="61"/>
      <c r="R31" s="61">
        <v>547616</v>
      </c>
      <c r="S31" s="66" t="s">
        <v>1478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395</v>
      </c>
      <c r="B32" s="62">
        <v>46112</v>
      </c>
      <c r="C32" s="63" t="s">
        <v>2841</v>
      </c>
      <c r="D32" s="67">
        <v>11800000</v>
      </c>
      <c r="E32" s="67"/>
      <c r="F32" s="61" t="str">
        <f t="shared" si="0"/>
        <v>借</v>
      </c>
      <c r="G32" s="64">
        <f>SUM(D$6:E32)</f>
        <v>39298061</v>
      </c>
      <c r="H32" s="61"/>
      <c r="I32" s="61" t="s">
        <v>2842</v>
      </c>
      <c r="J32" s="61" t="s">
        <v>114</v>
      </c>
      <c r="K32" s="64">
        <v>11800000</v>
      </c>
      <c r="L32" s="61"/>
      <c r="M32" s="65" t="s">
        <v>242</v>
      </c>
      <c r="N32" s="61"/>
      <c r="O32" s="61"/>
      <c r="P32" s="61"/>
      <c r="Q32" s="61"/>
      <c r="R32" s="61">
        <v>547616</v>
      </c>
      <c r="S32" s="66" t="s">
        <v>1478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395</v>
      </c>
      <c r="B33" s="62">
        <v>46112</v>
      </c>
      <c r="C33" s="63" t="s">
        <v>2843</v>
      </c>
      <c r="D33" s="67">
        <v>6426</v>
      </c>
      <c r="E33" s="67"/>
      <c r="F33" s="61" t="str">
        <f t="shared" si="0"/>
        <v>借</v>
      </c>
      <c r="G33" s="64">
        <f>SUM(D$6:E33)</f>
        <v>39304487</v>
      </c>
      <c r="H33" s="61"/>
      <c r="I33" s="61" t="s">
        <v>2836</v>
      </c>
      <c r="J33" s="61" t="s">
        <v>236</v>
      </c>
      <c r="K33" s="64">
        <v>200</v>
      </c>
      <c r="L33" s="61"/>
      <c r="M33" s="65" t="s">
        <v>242</v>
      </c>
      <c r="N33" s="61"/>
      <c r="O33" s="61"/>
      <c r="P33" s="61"/>
      <c r="Q33" s="61"/>
      <c r="R33" s="61">
        <v>547615</v>
      </c>
      <c r="S33" s="66" t="s">
        <v>843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395</v>
      </c>
      <c r="B34" s="62">
        <v>46120</v>
      </c>
      <c r="C34" s="63" t="s">
        <v>2844</v>
      </c>
      <c r="D34" s="67">
        <v>25000</v>
      </c>
      <c r="E34" s="67"/>
      <c r="F34" s="61" t="str">
        <f t="shared" si="0"/>
        <v>借</v>
      </c>
      <c r="G34" s="64">
        <f>SUM(D$6:E34)</f>
        <v>39329487</v>
      </c>
      <c r="H34" s="61"/>
      <c r="I34" s="61" t="s">
        <v>2845</v>
      </c>
      <c r="J34" s="61" t="s">
        <v>114</v>
      </c>
      <c r="K34" s="64">
        <v>25000</v>
      </c>
      <c r="L34" s="61"/>
      <c r="M34" s="65" t="s">
        <v>239</v>
      </c>
      <c r="N34" s="61"/>
      <c r="O34" s="61"/>
      <c r="P34" s="61"/>
      <c r="Q34" s="61"/>
      <c r="R34" s="61">
        <v>548617</v>
      </c>
      <c r="S34" s="66" t="s">
        <v>843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395</v>
      </c>
      <c r="B35" s="62">
        <v>46120</v>
      </c>
      <c r="C35" s="63" t="s">
        <v>2846</v>
      </c>
      <c r="D35" s="67">
        <v>50000</v>
      </c>
      <c r="E35" s="67"/>
      <c r="F35" s="61" t="str">
        <f t="shared" si="0"/>
        <v>借</v>
      </c>
      <c r="G35" s="64">
        <f>SUM(D$6:E35)</f>
        <v>39379487</v>
      </c>
      <c r="H35" s="61"/>
      <c r="I35" s="61" t="s">
        <v>2847</v>
      </c>
      <c r="J35" s="61" t="s">
        <v>114</v>
      </c>
      <c r="K35" s="64">
        <v>50000</v>
      </c>
      <c r="L35" s="61"/>
      <c r="M35" s="65" t="s">
        <v>406</v>
      </c>
      <c r="N35" s="61"/>
      <c r="O35" s="61"/>
      <c r="P35" s="61"/>
      <c r="Q35" s="61"/>
      <c r="R35" s="61">
        <v>548617</v>
      </c>
      <c r="S35" s="66" t="s">
        <v>843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395</v>
      </c>
      <c r="B36" s="62">
        <v>46121</v>
      </c>
      <c r="C36" s="63" t="s">
        <v>2848</v>
      </c>
      <c r="D36" s="67"/>
      <c r="E36" s="67">
        <v>-252000</v>
      </c>
      <c r="F36" s="61" t="str">
        <f t="shared" si="0"/>
        <v>借</v>
      </c>
      <c r="G36" s="64">
        <f>SUM(D$6:E36)</f>
        <v>39127487</v>
      </c>
      <c r="H36" s="61"/>
      <c r="I36" s="61" t="s">
        <v>2849</v>
      </c>
      <c r="J36" s="61" t="s">
        <v>114</v>
      </c>
      <c r="K36" s="64">
        <v>-252000</v>
      </c>
      <c r="L36" s="61"/>
      <c r="M36" s="65" t="s">
        <v>1101</v>
      </c>
      <c r="N36" s="61"/>
      <c r="O36" s="61"/>
      <c r="P36" s="61"/>
      <c r="Q36" s="61"/>
      <c r="R36" s="61">
        <v>548779</v>
      </c>
      <c r="S36" s="66" t="s">
        <v>843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395</v>
      </c>
      <c r="B37" s="62">
        <v>46122</v>
      </c>
      <c r="C37" s="63" t="s">
        <v>2850</v>
      </c>
      <c r="D37" s="67"/>
      <c r="E37" s="67">
        <v>-10000</v>
      </c>
      <c r="F37" s="61" t="str">
        <f t="shared" si="0"/>
        <v>借</v>
      </c>
      <c r="G37" s="64">
        <f>SUM(D$6:E37)</f>
        <v>39117487</v>
      </c>
      <c r="H37" s="61"/>
      <c r="I37" s="61" t="s">
        <v>2851</v>
      </c>
      <c r="J37" s="61" t="s">
        <v>114</v>
      </c>
      <c r="K37" s="64">
        <v>-10000</v>
      </c>
      <c r="L37" s="61"/>
      <c r="M37" s="65" t="s">
        <v>1150</v>
      </c>
      <c r="N37" s="61"/>
      <c r="O37" s="61"/>
      <c r="P37" s="61"/>
      <c r="Q37" s="61"/>
      <c r="R37" s="61">
        <v>548780</v>
      </c>
      <c r="S37" s="66" t="s">
        <v>843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395</v>
      </c>
      <c r="B38" s="62">
        <v>46122</v>
      </c>
      <c r="C38" s="63" t="s">
        <v>2852</v>
      </c>
      <c r="D38" s="67"/>
      <c r="E38" s="67">
        <v>-22000</v>
      </c>
      <c r="F38" s="61" t="str">
        <f t="shared" si="0"/>
        <v>借</v>
      </c>
      <c r="G38" s="64">
        <f>SUM(D$6:E38)</f>
        <v>39095487</v>
      </c>
      <c r="H38" s="61"/>
      <c r="I38" s="61" t="s">
        <v>2853</v>
      </c>
      <c r="J38" s="61" t="s">
        <v>114</v>
      </c>
      <c r="K38" s="64">
        <v>-22000</v>
      </c>
      <c r="L38" s="61"/>
      <c r="M38" s="65" t="s">
        <v>1762</v>
      </c>
      <c r="N38" s="61"/>
      <c r="O38" s="61"/>
      <c r="P38" s="61"/>
      <c r="Q38" s="61"/>
      <c r="R38" s="61">
        <v>548780</v>
      </c>
      <c r="S38" s="66" t="s">
        <v>843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395</v>
      </c>
      <c r="B39" s="62">
        <v>46122</v>
      </c>
      <c r="C39" s="63" t="s">
        <v>2854</v>
      </c>
      <c r="D39" s="67"/>
      <c r="E39" s="67">
        <v>-44297</v>
      </c>
      <c r="F39" s="61" t="str">
        <f t="shared" si="0"/>
        <v>借</v>
      </c>
      <c r="G39" s="64">
        <f>SUM(D$6:E39)</f>
        <v>39051190</v>
      </c>
      <c r="H39" s="61"/>
      <c r="I39" s="61" t="s">
        <v>2855</v>
      </c>
      <c r="J39" s="61" t="s">
        <v>114</v>
      </c>
      <c r="K39" s="64">
        <v>-44297</v>
      </c>
      <c r="L39" s="61"/>
      <c r="M39" s="65" t="s">
        <v>396</v>
      </c>
      <c r="N39" s="61"/>
      <c r="O39" s="61"/>
      <c r="P39" s="61"/>
      <c r="Q39" s="61"/>
      <c r="R39" s="61">
        <v>548780</v>
      </c>
      <c r="S39" s="66" t="s">
        <v>843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395</v>
      </c>
      <c r="B40" s="62">
        <v>46122</v>
      </c>
      <c r="C40" s="63" t="s">
        <v>2856</v>
      </c>
      <c r="D40" s="67"/>
      <c r="E40" s="67">
        <v>-33322</v>
      </c>
      <c r="F40" s="61" t="str">
        <f t="shared" si="0"/>
        <v>借</v>
      </c>
      <c r="G40" s="64">
        <f>SUM(D$6:E40)</f>
        <v>39017868</v>
      </c>
      <c r="H40" s="61"/>
      <c r="I40" s="61" t="s">
        <v>2857</v>
      </c>
      <c r="J40" s="61" t="s">
        <v>114</v>
      </c>
      <c r="K40" s="64">
        <v>-33322</v>
      </c>
      <c r="L40" s="61"/>
      <c r="M40" s="65" t="s">
        <v>275</v>
      </c>
      <c r="N40" s="61"/>
      <c r="O40" s="61"/>
      <c r="P40" s="61"/>
      <c r="Q40" s="61"/>
      <c r="R40" s="61">
        <v>548780</v>
      </c>
      <c r="S40" s="66" t="s">
        <v>843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395</v>
      </c>
      <c r="B41" s="62">
        <v>46122</v>
      </c>
      <c r="C41" s="63" t="s">
        <v>2858</v>
      </c>
      <c r="D41" s="67"/>
      <c r="E41" s="67">
        <v>-1015</v>
      </c>
      <c r="F41" s="61" t="str">
        <f t="shared" si="0"/>
        <v>借</v>
      </c>
      <c r="G41" s="64">
        <f>SUM(D$6:E41)</f>
        <v>39016853</v>
      </c>
      <c r="H41" s="61"/>
      <c r="I41" s="61" t="s">
        <v>2859</v>
      </c>
      <c r="J41" s="61" t="s">
        <v>114</v>
      </c>
      <c r="K41" s="64">
        <v>-1015</v>
      </c>
      <c r="L41" s="61"/>
      <c r="M41" s="65" t="s">
        <v>1753</v>
      </c>
      <c r="N41" s="61"/>
      <c r="O41" s="61"/>
      <c r="P41" s="61"/>
      <c r="Q41" s="61"/>
      <c r="R41" s="61">
        <v>548780</v>
      </c>
      <c r="S41" s="66" t="s">
        <v>843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395</v>
      </c>
      <c r="B42" s="62">
        <v>46122</v>
      </c>
      <c r="C42" s="63" t="s">
        <v>2860</v>
      </c>
      <c r="D42" s="67"/>
      <c r="E42" s="67">
        <v>-1000</v>
      </c>
      <c r="F42" s="61" t="str">
        <f t="shared" si="0"/>
        <v>借</v>
      </c>
      <c r="G42" s="64">
        <f>SUM(D$6:E42)</f>
        <v>39015853</v>
      </c>
      <c r="H42" s="61"/>
      <c r="I42" s="61" t="s">
        <v>2861</v>
      </c>
      <c r="J42" s="61" t="s">
        <v>114</v>
      </c>
      <c r="K42" s="64">
        <v>-1000</v>
      </c>
      <c r="L42" s="61"/>
      <c r="M42" s="65" t="s">
        <v>397</v>
      </c>
      <c r="N42" s="61"/>
      <c r="O42" s="61"/>
      <c r="P42" s="61"/>
      <c r="Q42" s="61"/>
      <c r="R42" s="61">
        <v>548780</v>
      </c>
      <c r="S42" s="66" t="s">
        <v>843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395</v>
      </c>
      <c r="B43" s="62">
        <v>46122</v>
      </c>
      <c r="C43" s="63" t="s">
        <v>2862</v>
      </c>
      <c r="D43" s="67"/>
      <c r="E43" s="67">
        <v>-1000</v>
      </c>
      <c r="F43" s="61" t="str">
        <f t="shared" si="0"/>
        <v>借</v>
      </c>
      <c r="G43" s="64">
        <f>SUM(D$6:E43)</f>
        <v>39014853</v>
      </c>
      <c r="H43" s="61"/>
      <c r="I43" s="61" t="s">
        <v>2863</v>
      </c>
      <c r="J43" s="61" t="s">
        <v>114</v>
      </c>
      <c r="K43" s="64">
        <v>-1000</v>
      </c>
      <c r="L43" s="61"/>
      <c r="M43" s="65" t="s">
        <v>1151</v>
      </c>
      <c r="N43" s="61"/>
      <c r="O43" s="61"/>
      <c r="P43" s="61"/>
      <c r="Q43" s="61"/>
      <c r="R43" s="61">
        <v>548780</v>
      </c>
      <c r="S43" s="66" t="s">
        <v>843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 ht="17.25" thickBot="1">
      <c r="A44" s="44"/>
      <c r="B44" s="44" t="s">
        <v>115</v>
      </c>
      <c r="C44" s="44"/>
      <c r="D44" s="45">
        <f>SUBTOTAL(9,D7:D43)</f>
        <v>39379487</v>
      </c>
      <c r="E44" s="45">
        <f>SUBTOTAL(9,E7:E43)</f>
        <v>-364634</v>
      </c>
      <c r="F44" s="44" t="str">
        <f t="shared" si="0"/>
        <v>借</v>
      </c>
      <c r="G44" s="46">
        <f>G43</f>
        <v>39014853</v>
      </c>
      <c r="H44" s="44"/>
      <c r="I44" s="44"/>
      <c r="J44" s="44"/>
      <c r="K44" s="47">
        <f>SUBTOTAL(9,K7:K43)</f>
        <v>39008627</v>
      </c>
      <c r="L44" s="44"/>
      <c r="M44" s="48" t="s">
        <v>117</v>
      </c>
      <c r="N44" s="48" t="str">
        <f>IF(O44&gt;0,"借","貸")</f>
        <v>借</v>
      </c>
      <c r="O44" s="49">
        <v>39014853</v>
      </c>
      <c r="P44" s="44" t="s">
        <v>118</v>
      </c>
      <c r="Q44" s="49">
        <f>O44-G44</f>
        <v>0</v>
      </c>
      <c r="R44" s="44"/>
      <c r="S44" s="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  <row r="531" spans="1:1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</row>
    <row r="532" spans="1:1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</row>
    <row r="533" spans="1:1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</row>
    <row r="534" spans="1:1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</row>
    <row r="535" spans="1:1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</row>
    <row r="536" spans="1:1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</row>
    <row r="537" spans="1:1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</row>
    <row r="538" spans="1:1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</row>
    <row r="539" spans="1:1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</row>
    <row r="540" spans="1:1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</row>
    <row r="541" spans="1:1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</row>
    <row r="542" spans="1:1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</row>
    <row r="543" spans="1:1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</row>
    <row r="544" spans="1:1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</row>
    <row r="545" spans="1:1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</row>
    <row r="546" spans="1:1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</row>
    <row r="547" spans="1:1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</row>
    <row r="548" spans="1:1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</row>
    <row r="549" spans="1:1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</row>
    <row r="550" spans="1:1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</row>
    <row r="551" spans="1:1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</row>
    <row r="552" spans="1:1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</row>
    <row r="553" spans="1:1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</row>
    <row r="554" spans="1:1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</row>
    <row r="555" spans="1:1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</row>
    <row r="556" spans="1:1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</row>
    <row r="557" spans="1:1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</row>
    <row r="558" spans="1:1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</row>
    <row r="559" spans="1:1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</row>
    <row r="560" spans="1:1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</row>
    <row r="561" spans="1:1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</row>
    <row r="562" spans="1:1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</row>
    <row r="563" spans="1:1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</row>
  </sheetData>
  <autoFilter ref="A5:AR891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6E141048-F472-41DC-A463-C44BFC0AF3F5}">
      <formula1>0</formula1>
      <formula2>300</formula2>
    </dataValidation>
    <dataValidation type="textLength" errorStyle="information" allowBlank="1" showInputMessage="1" showErrorMessage="1" error="XLBVal:6=1200478.000_x000d__x000a_" sqref="G4" xr:uid="{E7611E97-1236-4191-86C3-B7C408255CF3}">
      <formula1>0</formula1>
      <formula2>300</formula2>
    </dataValidation>
    <dataValidation type="textLength" errorStyle="information" allowBlank="1" showInputMessage="1" showErrorMessage="1" error="XLBVal:8=_x000d__x000a_XLBRowCount:8=39_x000d__x000a_XLBColCount:8=19_x000d__x000a_" sqref="A6" xr:uid="{77791B38-0A5B-41D6-B3EC-8404776B8DB0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A1FC-1DA7-4B2D-878A-B3EAA6AE9B6B}">
  <sheetPr codeName="工作表10">
    <pageSetUpPr fitToPage="1"/>
  </sheetPr>
  <dimension ref="A1:AR523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3.625" style="5" hidden="1" customWidth="1" outlineLevel="1"/>
    <col min="2" max="2" width="11.125" style="5" bestFit="1" customWidth="1" collapsed="1"/>
    <col min="3" max="3" width="18.125" style="5" bestFit="1" customWidth="1"/>
    <col min="4" max="4" width="13.375" style="6" bestFit="1" customWidth="1"/>
    <col min="5" max="5" width="11.75" style="6" bestFit="1" customWidth="1"/>
    <col min="6" max="6" width="3.75" style="5" bestFit="1" customWidth="1"/>
    <col min="7" max="7" width="15.75" style="7" bestFit="1" customWidth="1"/>
    <col min="8" max="8" width="6.75" style="5" bestFit="1" customWidth="1"/>
    <col min="9" max="9" width="40.5" style="8" bestFit="1" customWidth="1"/>
    <col min="10" max="10" width="5.75" style="8" bestFit="1" customWidth="1"/>
    <col min="11" max="11" width="13.375" style="9" bestFit="1" customWidth="1"/>
    <col min="12" max="12" width="12.75" style="5" bestFit="1" customWidth="1"/>
    <col min="13" max="13" width="7.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976</v>
      </c>
      <c r="D4" s="2" t="s">
        <v>980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6177084.000",TargetCell,M_BU,$C4,$C4,M_PRD_FROM,M_PRD_TO,M_DATE,M_T1,M_T1,M_T2,M_T2,M_T3,M_T3,M_T4,M_T4,M_T5,M_T5,M_T6,M_T6,M_T8,M_T8)</f>
        <v>6177084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981</v>
      </c>
      <c r="B7" s="62">
        <v>45966</v>
      </c>
      <c r="C7" s="63" t="s">
        <v>1248</v>
      </c>
      <c r="D7" s="67">
        <v>600000</v>
      </c>
      <c r="E7" s="67"/>
      <c r="F7" s="61" t="str">
        <f t="shared" ref="F7:F19" si="0">IF(G7&gt;0,"借","貸")</f>
        <v>借</v>
      </c>
      <c r="G7" s="64">
        <f>SUM(D$6:E7)</f>
        <v>600000</v>
      </c>
      <c r="H7" s="61"/>
      <c r="I7" s="61" t="s">
        <v>1249</v>
      </c>
      <c r="J7" s="61" t="s">
        <v>114</v>
      </c>
      <c r="K7" s="64">
        <v>600000</v>
      </c>
      <c r="L7" s="61"/>
      <c r="M7" s="65" t="s">
        <v>1250</v>
      </c>
      <c r="N7" s="61"/>
      <c r="O7" s="61"/>
      <c r="P7" s="61"/>
      <c r="Q7" s="61"/>
      <c r="R7" s="61">
        <v>517710</v>
      </c>
      <c r="S7" s="66" t="s">
        <v>923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981</v>
      </c>
      <c r="B8" s="62">
        <v>45987</v>
      </c>
      <c r="C8" s="63" t="s">
        <v>1251</v>
      </c>
      <c r="D8" s="67">
        <v>596000</v>
      </c>
      <c r="E8" s="67"/>
      <c r="F8" s="61" t="str">
        <f t="shared" si="0"/>
        <v>借</v>
      </c>
      <c r="G8" s="64">
        <f>SUM(D$6:E8)</f>
        <v>1196000</v>
      </c>
      <c r="H8" s="61"/>
      <c r="I8" s="61" t="s">
        <v>1252</v>
      </c>
      <c r="J8" s="61" t="s">
        <v>114</v>
      </c>
      <c r="K8" s="64">
        <v>596000</v>
      </c>
      <c r="L8" s="61"/>
      <c r="M8" s="65" t="s">
        <v>1181</v>
      </c>
      <c r="N8" s="61"/>
      <c r="O8" s="61"/>
      <c r="P8" s="61"/>
      <c r="Q8" s="61"/>
      <c r="R8" s="61">
        <v>520479</v>
      </c>
      <c r="S8" s="66" t="s">
        <v>923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981</v>
      </c>
      <c r="B9" s="62">
        <v>46031</v>
      </c>
      <c r="C9" s="63" t="s">
        <v>1361</v>
      </c>
      <c r="D9" s="67">
        <v>506628</v>
      </c>
      <c r="E9" s="67"/>
      <c r="F9" s="61" t="str">
        <f t="shared" si="0"/>
        <v>借</v>
      </c>
      <c r="G9" s="64">
        <f>SUM(D$6:E9)</f>
        <v>1702628</v>
      </c>
      <c r="H9" s="61"/>
      <c r="I9" s="61" t="s">
        <v>1362</v>
      </c>
      <c r="J9" s="61" t="s">
        <v>114</v>
      </c>
      <c r="K9" s="64">
        <v>506628</v>
      </c>
      <c r="L9" s="61"/>
      <c r="M9" s="65" t="s">
        <v>1363</v>
      </c>
      <c r="N9" s="61"/>
      <c r="O9" s="61"/>
      <c r="P9" s="61"/>
      <c r="Q9" s="61"/>
      <c r="R9" s="61">
        <v>529396</v>
      </c>
      <c r="S9" s="66" t="s">
        <v>923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981</v>
      </c>
      <c r="B10" s="62">
        <v>46035</v>
      </c>
      <c r="C10" s="63" t="s">
        <v>1364</v>
      </c>
      <c r="D10" s="67">
        <v>45000</v>
      </c>
      <c r="E10" s="67"/>
      <c r="F10" s="61" t="str">
        <f t="shared" si="0"/>
        <v>借</v>
      </c>
      <c r="G10" s="64">
        <f>SUM(D$6:E10)</f>
        <v>1747628</v>
      </c>
      <c r="H10" s="61"/>
      <c r="I10" s="61" t="s">
        <v>1365</v>
      </c>
      <c r="J10" s="61" t="s">
        <v>114</v>
      </c>
      <c r="K10" s="64">
        <v>45000</v>
      </c>
      <c r="L10" s="61"/>
      <c r="M10" s="65" t="s">
        <v>1366</v>
      </c>
      <c r="N10" s="61"/>
      <c r="O10" s="61"/>
      <c r="P10" s="61"/>
      <c r="Q10" s="61"/>
      <c r="R10" s="61">
        <v>530327</v>
      </c>
      <c r="S10" s="66" t="s">
        <v>43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981</v>
      </c>
      <c r="B11" s="62">
        <v>46036</v>
      </c>
      <c r="C11" s="63" t="s">
        <v>1483</v>
      </c>
      <c r="D11" s="67">
        <v>316400</v>
      </c>
      <c r="E11" s="67"/>
      <c r="F11" s="61" t="str">
        <f t="shared" si="0"/>
        <v>借</v>
      </c>
      <c r="G11" s="64">
        <f>SUM(D$6:E11)</f>
        <v>2064028</v>
      </c>
      <c r="H11" s="61"/>
      <c r="I11" s="61" t="s">
        <v>1484</v>
      </c>
      <c r="J11" s="61" t="s">
        <v>114</v>
      </c>
      <c r="K11" s="64">
        <v>316400</v>
      </c>
      <c r="L11" s="61"/>
      <c r="M11" s="65" t="s">
        <v>1485</v>
      </c>
      <c r="N11" s="61"/>
      <c r="O11" s="61"/>
      <c r="P11" s="61"/>
      <c r="Q11" s="61"/>
      <c r="R11" s="61">
        <v>533181</v>
      </c>
      <c r="S11" s="66" t="s">
        <v>923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981</v>
      </c>
      <c r="B12" s="62">
        <v>46051</v>
      </c>
      <c r="C12" s="63" t="s">
        <v>1521</v>
      </c>
      <c r="D12" s="67">
        <v>92056</v>
      </c>
      <c r="E12" s="67"/>
      <c r="F12" s="61" t="str">
        <f t="shared" si="0"/>
        <v>借</v>
      </c>
      <c r="G12" s="64">
        <f>SUM(D$6:E12)</f>
        <v>2156084</v>
      </c>
      <c r="H12" s="61"/>
      <c r="I12" s="61" t="s">
        <v>1522</v>
      </c>
      <c r="J12" s="61" t="s">
        <v>114</v>
      </c>
      <c r="K12" s="64">
        <v>92056</v>
      </c>
      <c r="L12" s="61"/>
      <c r="M12" s="65" t="s">
        <v>1523</v>
      </c>
      <c r="N12" s="61"/>
      <c r="O12" s="61"/>
      <c r="P12" s="61"/>
      <c r="Q12" s="61"/>
      <c r="R12" s="61">
        <v>534530</v>
      </c>
      <c r="S12" s="66" t="s">
        <v>923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981</v>
      </c>
      <c r="B13" s="62">
        <v>46078</v>
      </c>
      <c r="C13" s="63" t="s">
        <v>1765</v>
      </c>
      <c r="D13" s="67">
        <v>550000</v>
      </c>
      <c r="E13" s="67"/>
      <c r="F13" s="61" t="str">
        <f t="shared" si="0"/>
        <v>借</v>
      </c>
      <c r="G13" s="64">
        <f>SUM(D$6:E13)</f>
        <v>2706084</v>
      </c>
      <c r="H13" s="61"/>
      <c r="I13" s="61" t="s">
        <v>1766</v>
      </c>
      <c r="J13" s="61" t="s">
        <v>114</v>
      </c>
      <c r="K13" s="64">
        <v>550000</v>
      </c>
      <c r="L13" s="61"/>
      <c r="M13" s="65" t="s">
        <v>1218</v>
      </c>
      <c r="N13" s="61"/>
      <c r="O13" s="61"/>
      <c r="P13" s="61"/>
      <c r="Q13" s="61"/>
      <c r="R13" s="61">
        <v>537609</v>
      </c>
      <c r="S13" s="66" t="s">
        <v>43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981</v>
      </c>
      <c r="B14" s="62">
        <v>46093</v>
      </c>
      <c r="C14" s="63" t="s">
        <v>2864</v>
      </c>
      <c r="D14" s="67">
        <v>150000</v>
      </c>
      <c r="E14" s="67"/>
      <c r="F14" s="61" t="str">
        <f t="shared" si="0"/>
        <v>借</v>
      </c>
      <c r="G14" s="64">
        <f>SUM(D$6:E14)</f>
        <v>2856084</v>
      </c>
      <c r="H14" s="61"/>
      <c r="I14" s="61" t="s">
        <v>2865</v>
      </c>
      <c r="J14" s="61" t="s">
        <v>114</v>
      </c>
      <c r="K14" s="64">
        <v>150000</v>
      </c>
      <c r="L14" s="61"/>
      <c r="M14" s="65" t="s">
        <v>2866</v>
      </c>
      <c r="N14" s="61"/>
      <c r="O14" s="61"/>
      <c r="P14" s="61"/>
      <c r="Q14" s="61"/>
      <c r="R14" s="61">
        <v>546368</v>
      </c>
      <c r="S14" s="66" t="s">
        <v>923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981</v>
      </c>
      <c r="B15" s="62">
        <v>46093</v>
      </c>
      <c r="C15" s="63" t="s">
        <v>2867</v>
      </c>
      <c r="D15" s="67">
        <v>290000</v>
      </c>
      <c r="E15" s="67"/>
      <c r="F15" s="61" t="str">
        <f t="shared" si="0"/>
        <v>借</v>
      </c>
      <c r="G15" s="64">
        <f>SUM(D$6:E15)</f>
        <v>3146084</v>
      </c>
      <c r="H15" s="61"/>
      <c r="I15" s="61" t="s">
        <v>2868</v>
      </c>
      <c r="J15" s="61" t="s">
        <v>114</v>
      </c>
      <c r="K15" s="64">
        <v>290000</v>
      </c>
      <c r="L15" s="61"/>
      <c r="M15" s="65" t="s">
        <v>2869</v>
      </c>
      <c r="N15" s="61"/>
      <c r="O15" s="61"/>
      <c r="P15" s="61"/>
      <c r="Q15" s="61"/>
      <c r="R15" s="61">
        <v>546369</v>
      </c>
      <c r="S15" s="66" t="s">
        <v>923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981</v>
      </c>
      <c r="B16" s="62">
        <v>46094</v>
      </c>
      <c r="C16" s="63" t="s">
        <v>2870</v>
      </c>
      <c r="D16" s="67">
        <v>565000</v>
      </c>
      <c r="E16" s="67"/>
      <c r="F16" s="61" t="str">
        <f t="shared" si="0"/>
        <v>借</v>
      </c>
      <c r="G16" s="64">
        <f>SUM(D$6:E16)</f>
        <v>3711084</v>
      </c>
      <c r="H16" s="61"/>
      <c r="I16" s="61" t="s">
        <v>2871</v>
      </c>
      <c r="J16" s="61" t="s">
        <v>114</v>
      </c>
      <c r="K16" s="64">
        <v>565000</v>
      </c>
      <c r="L16" s="61"/>
      <c r="M16" s="65" t="s">
        <v>2872</v>
      </c>
      <c r="N16" s="61"/>
      <c r="O16" s="61"/>
      <c r="P16" s="61"/>
      <c r="Q16" s="61"/>
      <c r="R16" s="61">
        <v>546370</v>
      </c>
      <c r="S16" s="66" t="s">
        <v>923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981</v>
      </c>
      <c r="B17" s="62">
        <v>46094</v>
      </c>
      <c r="C17" s="63" t="s">
        <v>2873</v>
      </c>
      <c r="D17" s="67">
        <v>2316000</v>
      </c>
      <c r="E17" s="67"/>
      <c r="F17" s="61" t="str">
        <f t="shared" si="0"/>
        <v>借</v>
      </c>
      <c r="G17" s="64">
        <f>SUM(D$6:E17)</f>
        <v>6027084</v>
      </c>
      <c r="H17" s="61"/>
      <c r="I17" s="61" t="s">
        <v>2874</v>
      </c>
      <c r="J17" s="61" t="s">
        <v>114</v>
      </c>
      <c r="K17" s="64">
        <v>2316000</v>
      </c>
      <c r="L17" s="61"/>
      <c r="M17" s="65" t="s">
        <v>2875</v>
      </c>
      <c r="N17" s="61"/>
      <c r="O17" s="61"/>
      <c r="P17" s="61"/>
      <c r="Q17" s="61"/>
      <c r="R17" s="61">
        <v>546371</v>
      </c>
      <c r="S17" s="66" t="s">
        <v>923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981</v>
      </c>
      <c r="B18" s="62">
        <v>46120</v>
      </c>
      <c r="C18" s="63" t="s">
        <v>2876</v>
      </c>
      <c r="D18" s="67">
        <v>150000</v>
      </c>
      <c r="E18" s="67"/>
      <c r="F18" s="61" t="str">
        <f t="shared" si="0"/>
        <v>借</v>
      </c>
      <c r="G18" s="64">
        <f>SUM(D$6:E18)</f>
        <v>6177084</v>
      </c>
      <c r="H18" s="61"/>
      <c r="I18" s="61" t="s">
        <v>2877</v>
      </c>
      <c r="J18" s="61" t="s">
        <v>114</v>
      </c>
      <c r="K18" s="64">
        <v>150000</v>
      </c>
      <c r="L18" s="61"/>
      <c r="M18" s="65" t="s">
        <v>2878</v>
      </c>
      <c r="N18" s="61"/>
      <c r="O18" s="61"/>
      <c r="P18" s="61"/>
      <c r="Q18" s="61"/>
      <c r="R18" s="61">
        <v>545981</v>
      </c>
      <c r="S18" s="66" t="s">
        <v>43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 ht="17.25" thickBot="1">
      <c r="A19" s="44"/>
      <c r="B19" s="44" t="s">
        <v>115</v>
      </c>
      <c r="C19" s="44"/>
      <c r="D19" s="45">
        <f>SUBTOTAL(9,D7:D18)</f>
        <v>6177084</v>
      </c>
      <c r="E19" s="45">
        <f>SUBTOTAL(9,E7:E18)</f>
        <v>0</v>
      </c>
      <c r="F19" s="44" t="str">
        <f t="shared" si="0"/>
        <v>借</v>
      </c>
      <c r="G19" s="46">
        <f>G18</f>
        <v>6177084</v>
      </c>
      <c r="H19" s="44"/>
      <c r="I19" s="44"/>
      <c r="J19" s="44"/>
      <c r="K19" s="47">
        <f>SUBTOTAL(9,K7:K18)</f>
        <v>6177084</v>
      </c>
      <c r="L19" s="44"/>
      <c r="M19" s="48" t="s">
        <v>117</v>
      </c>
      <c r="N19" s="48" t="str">
        <f>IF(O19&gt;0,"借","貸")</f>
        <v>借</v>
      </c>
      <c r="O19" s="49">
        <v>6177084</v>
      </c>
      <c r="P19" s="44" t="s">
        <v>118</v>
      </c>
      <c r="Q19" s="49">
        <f>O19-G19</f>
        <v>0</v>
      </c>
      <c r="R19" s="44"/>
      <c r="S19" s="44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</sheetData>
  <autoFilter ref="A5:AR890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7A2589FC-9429-47A2-981A-3B8ED259B153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95372413-E1D7-4786-BC4D-BA5EC122FE28}">
      <formula1>0</formula1>
      <formula2>300</formula2>
    </dataValidation>
    <dataValidation type="textLength" errorStyle="information" allowBlank="1" showInputMessage="1" showErrorMessage="1" error="XLBVal:8=_x000d__x000a_XLBRowCount:8=14_x000d__x000a_XLBColCount:8=19_x000d__x000a_" sqref="A6" xr:uid="{78683F65-1C5A-4C61-8824-ABDD689DC409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2D2A4-75EF-4CD3-839E-ED644DD4CAE4}">
  <sheetPr codeName="工作表11">
    <pageSetUpPr fitToPage="1"/>
  </sheetPr>
  <dimension ref="A1:AR508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3.625" style="5" hidden="1" customWidth="1" outlineLevel="1"/>
    <col min="2" max="2" width="11.125" style="5" bestFit="1" customWidth="1" collapsed="1"/>
    <col min="3" max="3" width="20.625" style="5" bestFit="1" customWidth="1"/>
    <col min="4" max="4" width="15.5" style="6" bestFit="1" customWidth="1"/>
    <col min="5" max="5" width="11.875" style="6" bestFit="1" customWidth="1"/>
    <col min="6" max="6" width="3.75" style="5" bestFit="1" customWidth="1"/>
    <col min="7" max="7" width="18.25" style="7" bestFit="1" customWidth="1"/>
    <col min="8" max="8" width="6.75" style="5" bestFit="1" customWidth="1"/>
    <col min="9" max="9" width="65.125" style="8" bestFit="1" customWidth="1"/>
    <col min="10" max="10" width="5.75" style="8" bestFit="1" customWidth="1"/>
    <col min="11" max="11" width="15.5" style="9" bestFit="1" customWidth="1"/>
    <col min="12" max="12" width="12.75" style="5" bestFit="1" customWidth="1"/>
    <col min="13" max="13" width="11.3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982</v>
      </c>
      <c r="D4" s="2" t="s">
        <v>855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384188159.000",TargetCell,M_BU,$C4,$C4,M_PRD_FROM,M_PRD_TO,M_DATE,M_T1,M_T1,M_T2,M_T2,M_T3,M_T3,M_T4,M_T4,M_T5,M_T5,M_T6,M_T6,M_T8,M_T8)</f>
        <v>384188159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856</v>
      </c>
      <c r="B7" s="62">
        <v>43671</v>
      </c>
      <c r="C7" s="63" t="s">
        <v>857</v>
      </c>
      <c r="D7" s="67">
        <v>16281</v>
      </c>
      <c r="E7" s="67"/>
      <c r="F7" s="61" t="str">
        <f t="shared" ref="F7:F70" si="0">IF(G7&gt;0,"借","貸")</f>
        <v>借</v>
      </c>
      <c r="G7" s="64">
        <f>SUM(D$6:E7)</f>
        <v>16281</v>
      </c>
      <c r="H7" s="61"/>
      <c r="I7" s="61" t="s">
        <v>858</v>
      </c>
      <c r="J7" s="61" t="s">
        <v>114</v>
      </c>
      <c r="K7" s="64">
        <v>16281</v>
      </c>
      <c r="L7" s="61"/>
      <c r="M7" s="65" t="s">
        <v>224</v>
      </c>
      <c r="N7" s="61"/>
      <c r="O7" s="61"/>
      <c r="P7" s="61"/>
      <c r="Q7" s="61"/>
      <c r="R7" s="61">
        <v>129179</v>
      </c>
      <c r="S7" s="66" t="s">
        <v>18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856</v>
      </c>
      <c r="B8" s="62">
        <v>45024</v>
      </c>
      <c r="C8" s="63" t="s">
        <v>859</v>
      </c>
      <c r="D8" s="67">
        <v>167</v>
      </c>
      <c r="E8" s="67"/>
      <c r="F8" s="61" t="str">
        <f t="shared" si="0"/>
        <v>借</v>
      </c>
      <c r="G8" s="64">
        <f>SUM(D$6:E8)</f>
        <v>16448</v>
      </c>
      <c r="H8" s="61"/>
      <c r="I8" s="61" t="s">
        <v>860</v>
      </c>
      <c r="J8" s="61" t="s">
        <v>236</v>
      </c>
      <c r="K8" s="64">
        <v>5.25</v>
      </c>
      <c r="L8" s="61"/>
      <c r="M8" s="65" t="s">
        <v>224</v>
      </c>
      <c r="N8" s="61"/>
      <c r="O8" s="61"/>
      <c r="P8" s="61"/>
      <c r="Q8" s="61"/>
      <c r="R8" s="61">
        <v>330618</v>
      </c>
      <c r="S8" s="66" t="s">
        <v>421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856</v>
      </c>
      <c r="B9" s="62">
        <v>45024</v>
      </c>
      <c r="C9" s="63" t="s">
        <v>861</v>
      </c>
      <c r="D9" s="67">
        <v>318</v>
      </c>
      <c r="E9" s="67"/>
      <c r="F9" s="61" t="str">
        <f t="shared" si="0"/>
        <v>借</v>
      </c>
      <c r="G9" s="64">
        <f>SUM(D$6:E9)</f>
        <v>16766</v>
      </c>
      <c r="H9" s="61"/>
      <c r="I9" s="61" t="s">
        <v>862</v>
      </c>
      <c r="J9" s="61" t="s">
        <v>236</v>
      </c>
      <c r="K9" s="64">
        <v>10</v>
      </c>
      <c r="L9" s="61"/>
      <c r="M9" s="65" t="s">
        <v>224</v>
      </c>
      <c r="N9" s="61"/>
      <c r="O9" s="61"/>
      <c r="P9" s="61"/>
      <c r="Q9" s="61"/>
      <c r="R9" s="61">
        <v>330618</v>
      </c>
      <c r="S9" s="66" t="s">
        <v>421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856</v>
      </c>
      <c r="B10" s="62">
        <v>45024</v>
      </c>
      <c r="C10" s="63" t="s">
        <v>863</v>
      </c>
      <c r="D10" s="67">
        <v>193</v>
      </c>
      <c r="E10" s="67"/>
      <c r="F10" s="61" t="str">
        <f t="shared" si="0"/>
        <v>借</v>
      </c>
      <c r="G10" s="64">
        <f>SUM(D$6:E10)</f>
        <v>16959</v>
      </c>
      <c r="H10" s="61"/>
      <c r="I10" s="61" t="s">
        <v>864</v>
      </c>
      <c r="J10" s="61" t="s">
        <v>236</v>
      </c>
      <c r="K10" s="64">
        <v>6</v>
      </c>
      <c r="L10" s="61"/>
      <c r="M10" s="65" t="s">
        <v>224</v>
      </c>
      <c r="N10" s="61"/>
      <c r="O10" s="61"/>
      <c r="P10" s="61"/>
      <c r="Q10" s="61"/>
      <c r="R10" s="61">
        <v>330618</v>
      </c>
      <c r="S10" s="66" t="s">
        <v>421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856</v>
      </c>
      <c r="B11" s="62">
        <v>45024</v>
      </c>
      <c r="C11" s="63" t="s">
        <v>865</v>
      </c>
      <c r="D11" s="67">
        <v>2078</v>
      </c>
      <c r="E11" s="67"/>
      <c r="F11" s="61" t="str">
        <f t="shared" si="0"/>
        <v>借</v>
      </c>
      <c r="G11" s="64">
        <f>SUM(D$6:E11)</f>
        <v>19037</v>
      </c>
      <c r="H11" s="61"/>
      <c r="I11" s="61" t="s">
        <v>866</v>
      </c>
      <c r="J11" s="61" t="s">
        <v>236</v>
      </c>
      <c r="K11" s="64">
        <v>64.5</v>
      </c>
      <c r="L11" s="61"/>
      <c r="M11" s="65" t="s">
        <v>224</v>
      </c>
      <c r="N11" s="61"/>
      <c r="O11" s="61"/>
      <c r="P11" s="61"/>
      <c r="Q11" s="61"/>
      <c r="R11" s="61">
        <v>330618</v>
      </c>
      <c r="S11" s="66" t="s">
        <v>421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856</v>
      </c>
      <c r="B12" s="62">
        <v>45024</v>
      </c>
      <c r="C12" s="63" t="s">
        <v>867</v>
      </c>
      <c r="D12" s="67">
        <v>387</v>
      </c>
      <c r="E12" s="67"/>
      <c r="F12" s="61" t="str">
        <f t="shared" si="0"/>
        <v>借</v>
      </c>
      <c r="G12" s="64">
        <f>SUM(D$6:E12)</f>
        <v>19424</v>
      </c>
      <c r="H12" s="61"/>
      <c r="I12" s="61" t="s">
        <v>868</v>
      </c>
      <c r="J12" s="61" t="s">
        <v>236</v>
      </c>
      <c r="K12" s="64">
        <v>12</v>
      </c>
      <c r="L12" s="61"/>
      <c r="M12" s="65" t="s">
        <v>224</v>
      </c>
      <c r="N12" s="61"/>
      <c r="O12" s="61"/>
      <c r="P12" s="61"/>
      <c r="Q12" s="61"/>
      <c r="R12" s="61">
        <v>330618</v>
      </c>
      <c r="S12" s="66" t="s">
        <v>421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856</v>
      </c>
      <c r="B13" s="62">
        <v>45024</v>
      </c>
      <c r="C13" s="63" t="s">
        <v>869</v>
      </c>
      <c r="D13" s="67">
        <v>322</v>
      </c>
      <c r="E13" s="67"/>
      <c r="F13" s="61" t="str">
        <f t="shared" si="0"/>
        <v>借</v>
      </c>
      <c r="G13" s="64">
        <f>SUM(D$6:E13)</f>
        <v>19746</v>
      </c>
      <c r="H13" s="61"/>
      <c r="I13" s="61" t="s">
        <v>870</v>
      </c>
      <c r="J13" s="61" t="s">
        <v>236</v>
      </c>
      <c r="K13" s="64">
        <v>10</v>
      </c>
      <c r="L13" s="61"/>
      <c r="M13" s="65" t="s">
        <v>224</v>
      </c>
      <c r="N13" s="61"/>
      <c r="O13" s="61"/>
      <c r="P13" s="61"/>
      <c r="Q13" s="61"/>
      <c r="R13" s="61">
        <v>330618</v>
      </c>
      <c r="S13" s="66" t="s">
        <v>421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856</v>
      </c>
      <c r="B14" s="62">
        <v>45024</v>
      </c>
      <c r="C14" s="63" t="s">
        <v>871</v>
      </c>
      <c r="D14" s="67">
        <v>1081</v>
      </c>
      <c r="E14" s="67"/>
      <c r="F14" s="61" t="str">
        <f t="shared" si="0"/>
        <v>借</v>
      </c>
      <c r="G14" s="64">
        <f>SUM(D$6:E14)</f>
        <v>20827</v>
      </c>
      <c r="H14" s="61"/>
      <c r="I14" s="61" t="s">
        <v>872</v>
      </c>
      <c r="J14" s="61" t="s">
        <v>236</v>
      </c>
      <c r="K14" s="64">
        <v>36</v>
      </c>
      <c r="L14" s="61"/>
      <c r="M14" s="65" t="s">
        <v>224</v>
      </c>
      <c r="N14" s="61"/>
      <c r="O14" s="61"/>
      <c r="P14" s="61"/>
      <c r="Q14" s="61"/>
      <c r="R14" s="61">
        <v>330618</v>
      </c>
      <c r="S14" s="66" t="s">
        <v>421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856</v>
      </c>
      <c r="B15" s="62">
        <v>45024</v>
      </c>
      <c r="C15" s="63" t="s">
        <v>873</v>
      </c>
      <c r="D15" s="67">
        <v>120</v>
      </c>
      <c r="E15" s="67"/>
      <c r="F15" s="61" t="str">
        <f t="shared" si="0"/>
        <v>借</v>
      </c>
      <c r="G15" s="64">
        <f>SUM(D$6:E15)</f>
        <v>20947</v>
      </c>
      <c r="H15" s="61"/>
      <c r="I15" s="61" t="s">
        <v>874</v>
      </c>
      <c r="J15" s="61" t="s">
        <v>236</v>
      </c>
      <c r="K15" s="64">
        <v>4</v>
      </c>
      <c r="L15" s="61"/>
      <c r="M15" s="65" t="s">
        <v>224</v>
      </c>
      <c r="N15" s="61"/>
      <c r="O15" s="61"/>
      <c r="P15" s="61"/>
      <c r="Q15" s="61"/>
      <c r="R15" s="61">
        <v>330618</v>
      </c>
      <c r="S15" s="66" t="s">
        <v>421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856</v>
      </c>
      <c r="B16" s="62">
        <v>45024</v>
      </c>
      <c r="C16" s="63" t="s">
        <v>875</v>
      </c>
      <c r="D16" s="67">
        <v>75</v>
      </c>
      <c r="E16" s="67"/>
      <c r="F16" s="61" t="str">
        <f t="shared" si="0"/>
        <v>借</v>
      </c>
      <c r="G16" s="64">
        <f>SUM(D$6:E16)</f>
        <v>21022</v>
      </c>
      <c r="H16" s="61"/>
      <c r="I16" s="61" t="s">
        <v>876</v>
      </c>
      <c r="J16" s="61" t="s">
        <v>236</v>
      </c>
      <c r="K16" s="64">
        <v>2.5</v>
      </c>
      <c r="L16" s="61"/>
      <c r="M16" s="65" t="s">
        <v>224</v>
      </c>
      <c r="N16" s="61"/>
      <c r="O16" s="61"/>
      <c r="P16" s="61"/>
      <c r="Q16" s="61"/>
      <c r="R16" s="61">
        <v>330618</v>
      </c>
      <c r="S16" s="66" t="s">
        <v>421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856</v>
      </c>
      <c r="B17" s="62">
        <v>45024</v>
      </c>
      <c r="C17" s="63" t="s">
        <v>877</v>
      </c>
      <c r="D17" s="67"/>
      <c r="E17" s="67"/>
      <c r="F17" s="61" t="str">
        <f t="shared" si="0"/>
        <v>借</v>
      </c>
      <c r="G17" s="64">
        <f>SUM(D$6:E17)</f>
        <v>21022</v>
      </c>
      <c r="H17" s="61"/>
      <c r="I17" s="61" t="s">
        <v>878</v>
      </c>
      <c r="J17" s="61" t="s">
        <v>236</v>
      </c>
      <c r="K17" s="64">
        <v>0.01</v>
      </c>
      <c r="L17" s="61"/>
      <c r="M17" s="65" t="s">
        <v>224</v>
      </c>
      <c r="N17" s="61"/>
      <c r="O17" s="61"/>
      <c r="P17" s="61"/>
      <c r="Q17" s="61"/>
      <c r="R17" s="61">
        <v>330618</v>
      </c>
      <c r="S17" s="66" t="s">
        <v>421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856</v>
      </c>
      <c r="B18" s="62">
        <v>45024</v>
      </c>
      <c r="C18" s="63" t="s">
        <v>879</v>
      </c>
      <c r="D18" s="67"/>
      <c r="E18" s="67"/>
      <c r="F18" s="61" t="str">
        <f t="shared" si="0"/>
        <v>借</v>
      </c>
      <c r="G18" s="64">
        <f>SUM(D$6:E18)</f>
        <v>21022</v>
      </c>
      <c r="H18" s="61"/>
      <c r="I18" s="61" t="s">
        <v>880</v>
      </c>
      <c r="J18" s="61" t="s">
        <v>236</v>
      </c>
      <c r="K18" s="64">
        <v>0.01</v>
      </c>
      <c r="L18" s="61"/>
      <c r="M18" s="65" t="s">
        <v>224</v>
      </c>
      <c r="N18" s="61"/>
      <c r="O18" s="61"/>
      <c r="P18" s="61"/>
      <c r="Q18" s="61"/>
      <c r="R18" s="61">
        <v>330618</v>
      </c>
      <c r="S18" s="66" t="s">
        <v>421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856</v>
      </c>
      <c r="B19" s="62">
        <v>45024</v>
      </c>
      <c r="C19" s="63" t="s">
        <v>881</v>
      </c>
      <c r="D19" s="67">
        <v>1171</v>
      </c>
      <c r="E19" s="67"/>
      <c r="F19" s="61" t="str">
        <f t="shared" si="0"/>
        <v>借</v>
      </c>
      <c r="G19" s="64">
        <f>SUM(D$6:E19)</f>
        <v>22193</v>
      </c>
      <c r="H19" s="61"/>
      <c r="I19" s="61" t="s">
        <v>882</v>
      </c>
      <c r="J19" s="61" t="s">
        <v>236</v>
      </c>
      <c r="K19" s="64">
        <v>39</v>
      </c>
      <c r="L19" s="61"/>
      <c r="M19" s="65" t="s">
        <v>224</v>
      </c>
      <c r="N19" s="61"/>
      <c r="O19" s="61"/>
      <c r="P19" s="61"/>
      <c r="Q19" s="61"/>
      <c r="R19" s="61">
        <v>330618</v>
      </c>
      <c r="S19" s="66" t="s">
        <v>421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856</v>
      </c>
      <c r="B20" s="62">
        <v>45024</v>
      </c>
      <c r="C20" s="63" t="s">
        <v>883</v>
      </c>
      <c r="D20" s="67">
        <v>481</v>
      </c>
      <c r="E20" s="67"/>
      <c r="F20" s="61" t="str">
        <f t="shared" si="0"/>
        <v>借</v>
      </c>
      <c r="G20" s="64">
        <f>SUM(D$6:E20)</f>
        <v>22674</v>
      </c>
      <c r="H20" s="61"/>
      <c r="I20" s="61" t="s">
        <v>884</v>
      </c>
      <c r="J20" s="61" t="s">
        <v>236</v>
      </c>
      <c r="K20" s="64">
        <v>16</v>
      </c>
      <c r="L20" s="61"/>
      <c r="M20" s="65" t="s">
        <v>224</v>
      </c>
      <c r="N20" s="61"/>
      <c r="O20" s="61"/>
      <c r="P20" s="61"/>
      <c r="Q20" s="61"/>
      <c r="R20" s="61">
        <v>330618</v>
      </c>
      <c r="S20" s="66" t="s">
        <v>421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856</v>
      </c>
      <c r="B21" s="62">
        <v>45024</v>
      </c>
      <c r="C21" s="63" t="s">
        <v>885</v>
      </c>
      <c r="D21" s="67">
        <v>1</v>
      </c>
      <c r="E21" s="67"/>
      <c r="F21" s="61" t="str">
        <f t="shared" si="0"/>
        <v>借</v>
      </c>
      <c r="G21" s="64">
        <f>SUM(D$6:E21)</f>
        <v>22675</v>
      </c>
      <c r="H21" s="61"/>
      <c r="I21" s="61" t="s">
        <v>886</v>
      </c>
      <c r="J21" s="61" t="s">
        <v>236</v>
      </c>
      <c r="K21" s="64">
        <v>0.02</v>
      </c>
      <c r="L21" s="61"/>
      <c r="M21" s="65" t="s">
        <v>224</v>
      </c>
      <c r="N21" s="61"/>
      <c r="O21" s="61"/>
      <c r="P21" s="61"/>
      <c r="Q21" s="61"/>
      <c r="R21" s="61">
        <v>330618</v>
      </c>
      <c r="S21" s="66" t="s">
        <v>421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856</v>
      </c>
      <c r="B22" s="62">
        <v>45024</v>
      </c>
      <c r="C22" s="63" t="s">
        <v>887</v>
      </c>
      <c r="D22" s="67">
        <v>5621</v>
      </c>
      <c r="E22" s="67"/>
      <c r="F22" s="61" t="str">
        <f t="shared" si="0"/>
        <v>借</v>
      </c>
      <c r="G22" s="64">
        <f>SUM(D$6:E22)</f>
        <v>28296</v>
      </c>
      <c r="H22" s="61"/>
      <c r="I22" s="61" t="s">
        <v>888</v>
      </c>
      <c r="J22" s="61" t="s">
        <v>236</v>
      </c>
      <c r="K22" s="64">
        <v>187.14</v>
      </c>
      <c r="L22" s="61"/>
      <c r="M22" s="65" t="s">
        <v>224</v>
      </c>
      <c r="N22" s="61"/>
      <c r="O22" s="61"/>
      <c r="P22" s="61"/>
      <c r="Q22" s="61"/>
      <c r="R22" s="61">
        <v>330618</v>
      </c>
      <c r="S22" s="66" t="s">
        <v>421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856</v>
      </c>
      <c r="B23" s="62">
        <v>45024</v>
      </c>
      <c r="C23" s="63" t="s">
        <v>889</v>
      </c>
      <c r="D23" s="67">
        <v>3856</v>
      </c>
      <c r="E23" s="67"/>
      <c r="F23" s="61" t="str">
        <f t="shared" si="0"/>
        <v>借</v>
      </c>
      <c r="G23" s="64">
        <f>SUM(D$6:E23)</f>
        <v>32152</v>
      </c>
      <c r="H23" s="61"/>
      <c r="I23" s="61" t="s">
        <v>890</v>
      </c>
      <c r="J23" s="61" t="s">
        <v>236</v>
      </c>
      <c r="K23" s="64">
        <v>128.4</v>
      </c>
      <c r="L23" s="61"/>
      <c r="M23" s="65" t="s">
        <v>224</v>
      </c>
      <c r="N23" s="61"/>
      <c r="O23" s="61"/>
      <c r="P23" s="61"/>
      <c r="Q23" s="61"/>
      <c r="R23" s="61">
        <v>330618</v>
      </c>
      <c r="S23" s="66" t="s">
        <v>421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856</v>
      </c>
      <c r="B24" s="62">
        <v>45024</v>
      </c>
      <c r="C24" s="63" t="s">
        <v>891</v>
      </c>
      <c r="D24" s="67">
        <v>481</v>
      </c>
      <c r="E24" s="67"/>
      <c r="F24" s="61" t="str">
        <f t="shared" si="0"/>
        <v>借</v>
      </c>
      <c r="G24" s="64">
        <f>SUM(D$6:E24)</f>
        <v>32633</v>
      </c>
      <c r="H24" s="61"/>
      <c r="I24" s="61" t="s">
        <v>892</v>
      </c>
      <c r="J24" s="61" t="s">
        <v>236</v>
      </c>
      <c r="K24" s="64">
        <v>16</v>
      </c>
      <c r="L24" s="61"/>
      <c r="M24" s="65" t="s">
        <v>224</v>
      </c>
      <c r="N24" s="61"/>
      <c r="O24" s="61"/>
      <c r="P24" s="61"/>
      <c r="Q24" s="61"/>
      <c r="R24" s="61">
        <v>330618</v>
      </c>
      <c r="S24" s="66" t="s">
        <v>421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856</v>
      </c>
      <c r="B25" s="62">
        <v>45024</v>
      </c>
      <c r="C25" s="63" t="s">
        <v>893</v>
      </c>
      <c r="D25" s="67">
        <v>401</v>
      </c>
      <c r="E25" s="67"/>
      <c r="F25" s="61" t="str">
        <f t="shared" si="0"/>
        <v>借</v>
      </c>
      <c r="G25" s="64">
        <f>SUM(D$6:E25)</f>
        <v>33034</v>
      </c>
      <c r="H25" s="61"/>
      <c r="I25" s="61" t="s">
        <v>894</v>
      </c>
      <c r="J25" s="61" t="s">
        <v>236</v>
      </c>
      <c r="K25" s="64">
        <v>13.36</v>
      </c>
      <c r="L25" s="61"/>
      <c r="M25" s="65" t="s">
        <v>224</v>
      </c>
      <c r="N25" s="61"/>
      <c r="O25" s="61"/>
      <c r="P25" s="61"/>
      <c r="Q25" s="61"/>
      <c r="R25" s="61">
        <v>330618</v>
      </c>
      <c r="S25" s="66" t="s">
        <v>421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856</v>
      </c>
      <c r="B26" s="62">
        <v>45024</v>
      </c>
      <c r="C26" s="63" t="s">
        <v>895</v>
      </c>
      <c r="D26" s="67">
        <v>15</v>
      </c>
      <c r="E26" s="67"/>
      <c r="F26" s="61" t="str">
        <f t="shared" si="0"/>
        <v>借</v>
      </c>
      <c r="G26" s="64">
        <f>SUM(D$6:E26)</f>
        <v>33049</v>
      </c>
      <c r="H26" s="61"/>
      <c r="I26" s="61" t="s">
        <v>896</v>
      </c>
      <c r="J26" s="61" t="s">
        <v>236</v>
      </c>
      <c r="K26" s="64">
        <v>0.5</v>
      </c>
      <c r="L26" s="61"/>
      <c r="M26" s="65" t="s">
        <v>224</v>
      </c>
      <c r="N26" s="61"/>
      <c r="O26" s="61"/>
      <c r="P26" s="61"/>
      <c r="Q26" s="61"/>
      <c r="R26" s="61">
        <v>330618</v>
      </c>
      <c r="S26" s="66" t="s">
        <v>421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856</v>
      </c>
      <c r="B27" s="62">
        <v>45024</v>
      </c>
      <c r="C27" s="63" t="s">
        <v>897</v>
      </c>
      <c r="D27" s="67">
        <v>18</v>
      </c>
      <c r="E27" s="67"/>
      <c r="F27" s="61" t="str">
        <f t="shared" si="0"/>
        <v>借</v>
      </c>
      <c r="G27" s="64">
        <f>SUM(D$6:E27)</f>
        <v>33067</v>
      </c>
      <c r="H27" s="61"/>
      <c r="I27" s="61" t="s">
        <v>898</v>
      </c>
      <c r="J27" s="61" t="s">
        <v>236</v>
      </c>
      <c r="K27" s="64">
        <v>0.6</v>
      </c>
      <c r="L27" s="61"/>
      <c r="M27" s="65" t="s">
        <v>224</v>
      </c>
      <c r="N27" s="61"/>
      <c r="O27" s="61"/>
      <c r="P27" s="61"/>
      <c r="Q27" s="61"/>
      <c r="R27" s="61">
        <v>330618</v>
      </c>
      <c r="S27" s="66" t="s">
        <v>421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856</v>
      </c>
      <c r="B28" s="62">
        <v>45024</v>
      </c>
      <c r="C28" s="63" t="s">
        <v>899</v>
      </c>
      <c r="D28" s="67">
        <v>215</v>
      </c>
      <c r="E28" s="67"/>
      <c r="F28" s="61" t="str">
        <f t="shared" si="0"/>
        <v>借</v>
      </c>
      <c r="G28" s="64">
        <f>SUM(D$6:E28)</f>
        <v>33282</v>
      </c>
      <c r="H28" s="61"/>
      <c r="I28" s="61" t="s">
        <v>900</v>
      </c>
      <c r="J28" s="61" t="s">
        <v>236</v>
      </c>
      <c r="K28" s="64">
        <v>7.16</v>
      </c>
      <c r="L28" s="61"/>
      <c r="M28" s="65" t="s">
        <v>224</v>
      </c>
      <c r="N28" s="61"/>
      <c r="O28" s="61"/>
      <c r="P28" s="61"/>
      <c r="Q28" s="61"/>
      <c r="R28" s="61">
        <v>330618</v>
      </c>
      <c r="S28" s="66" t="s">
        <v>421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856</v>
      </c>
      <c r="B29" s="62">
        <v>45024</v>
      </c>
      <c r="C29" s="63" t="s">
        <v>901</v>
      </c>
      <c r="D29" s="67">
        <v>30</v>
      </c>
      <c r="E29" s="67"/>
      <c r="F29" s="61" t="str">
        <f t="shared" si="0"/>
        <v>借</v>
      </c>
      <c r="G29" s="64">
        <f>SUM(D$6:E29)</f>
        <v>33312</v>
      </c>
      <c r="H29" s="61"/>
      <c r="I29" s="61" t="s">
        <v>902</v>
      </c>
      <c r="J29" s="61" t="s">
        <v>236</v>
      </c>
      <c r="K29" s="64">
        <v>1</v>
      </c>
      <c r="L29" s="61"/>
      <c r="M29" s="65" t="s">
        <v>224</v>
      </c>
      <c r="N29" s="61"/>
      <c r="O29" s="61"/>
      <c r="P29" s="61"/>
      <c r="Q29" s="61"/>
      <c r="R29" s="61">
        <v>330618</v>
      </c>
      <c r="S29" s="66" t="s">
        <v>421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856</v>
      </c>
      <c r="B30" s="62">
        <v>45024</v>
      </c>
      <c r="C30" s="63" t="s">
        <v>903</v>
      </c>
      <c r="D30" s="67">
        <v>96</v>
      </c>
      <c r="E30" s="67"/>
      <c r="F30" s="61" t="str">
        <f t="shared" si="0"/>
        <v>借</v>
      </c>
      <c r="G30" s="64">
        <f>SUM(D$6:E30)</f>
        <v>33408</v>
      </c>
      <c r="H30" s="61"/>
      <c r="I30" s="61" t="s">
        <v>904</v>
      </c>
      <c r="J30" s="61" t="s">
        <v>236</v>
      </c>
      <c r="K30" s="64">
        <v>3.2</v>
      </c>
      <c r="L30" s="61"/>
      <c r="M30" s="65" t="s">
        <v>224</v>
      </c>
      <c r="N30" s="61"/>
      <c r="O30" s="61"/>
      <c r="P30" s="61"/>
      <c r="Q30" s="61"/>
      <c r="R30" s="61">
        <v>330618</v>
      </c>
      <c r="S30" s="66" t="s">
        <v>421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856</v>
      </c>
      <c r="B31" s="62">
        <v>45024</v>
      </c>
      <c r="C31" s="63" t="s">
        <v>905</v>
      </c>
      <c r="D31" s="67">
        <v>6438</v>
      </c>
      <c r="E31" s="67"/>
      <c r="F31" s="61" t="str">
        <f t="shared" si="0"/>
        <v>借</v>
      </c>
      <c r="G31" s="64">
        <f>SUM(D$6:E31)</f>
        <v>39846</v>
      </c>
      <c r="H31" s="61"/>
      <c r="I31" s="61" t="s">
        <v>906</v>
      </c>
      <c r="J31" s="61" t="s">
        <v>236</v>
      </c>
      <c r="K31" s="64">
        <v>214.36</v>
      </c>
      <c r="L31" s="61"/>
      <c r="M31" s="65" t="s">
        <v>224</v>
      </c>
      <c r="N31" s="61"/>
      <c r="O31" s="61"/>
      <c r="P31" s="61"/>
      <c r="Q31" s="61"/>
      <c r="R31" s="61">
        <v>330618</v>
      </c>
      <c r="S31" s="66" t="s">
        <v>421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856</v>
      </c>
      <c r="B32" s="62">
        <v>45024</v>
      </c>
      <c r="C32" s="63" t="s">
        <v>907</v>
      </c>
      <c r="D32" s="67">
        <v>1502</v>
      </c>
      <c r="E32" s="67"/>
      <c r="F32" s="61" t="str">
        <f t="shared" si="0"/>
        <v>借</v>
      </c>
      <c r="G32" s="64">
        <f>SUM(D$6:E32)</f>
        <v>41348</v>
      </c>
      <c r="H32" s="61"/>
      <c r="I32" s="61" t="s">
        <v>908</v>
      </c>
      <c r="J32" s="61" t="s">
        <v>236</v>
      </c>
      <c r="K32" s="64">
        <v>50</v>
      </c>
      <c r="L32" s="61"/>
      <c r="M32" s="65" t="s">
        <v>224</v>
      </c>
      <c r="N32" s="61"/>
      <c r="O32" s="61"/>
      <c r="P32" s="61"/>
      <c r="Q32" s="61"/>
      <c r="R32" s="61">
        <v>330618</v>
      </c>
      <c r="S32" s="66" t="s">
        <v>421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856</v>
      </c>
      <c r="B33" s="62">
        <v>45024</v>
      </c>
      <c r="C33" s="63" t="s">
        <v>909</v>
      </c>
      <c r="D33" s="67">
        <v>101</v>
      </c>
      <c r="E33" s="67"/>
      <c r="F33" s="61" t="str">
        <f t="shared" si="0"/>
        <v>借</v>
      </c>
      <c r="G33" s="64">
        <f>SUM(D$6:E33)</f>
        <v>41449</v>
      </c>
      <c r="H33" s="61"/>
      <c r="I33" s="61" t="s">
        <v>910</v>
      </c>
      <c r="J33" s="61" t="s">
        <v>236</v>
      </c>
      <c r="K33" s="64">
        <v>0</v>
      </c>
      <c r="L33" s="61"/>
      <c r="M33" s="65" t="s">
        <v>224</v>
      </c>
      <c r="N33" s="61"/>
      <c r="O33" s="61"/>
      <c r="P33" s="61"/>
      <c r="Q33" s="61"/>
      <c r="R33" s="61">
        <v>330618</v>
      </c>
      <c r="S33" s="66" t="s">
        <v>421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856</v>
      </c>
      <c r="B34" s="62">
        <v>45024</v>
      </c>
      <c r="C34" s="63" t="s">
        <v>911</v>
      </c>
      <c r="D34" s="67">
        <v>3239</v>
      </c>
      <c r="E34" s="67"/>
      <c r="F34" s="61" t="str">
        <f t="shared" si="0"/>
        <v>借</v>
      </c>
      <c r="G34" s="64">
        <f>SUM(D$6:E34)</f>
        <v>44688</v>
      </c>
      <c r="H34" s="61"/>
      <c r="I34" s="61" t="s">
        <v>912</v>
      </c>
      <c r="J34" s="61" t="s">
        <v>236</v>
      </c>
      <c r="K34" s="64">
        <v>106.25</v>
      </c>
      <c r="L34" s="61"/>
      <c r="M34" s="65" t="s">
        <v>224</v>
      </c>
      <c r="N34" s="61"/>
      <c r="O34" s="61"/>
      <c r="P34" s="61"/>
      <c r="Q34" s="61"/>
      <c r="R34" s="61">
        <v>330618</v>
      </c>
      <c r="S34" s="66" t="s">
        <v>421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856</v>
      </c>
      <c r="B35" s="62">
        <v>45024</v>
      </c>
      <c r="C35" s="63" t="s">
        <v>913</v>
      </c>
      <c r="D35" s="67">
        <v>244</v>
      </c>
      <c r="E35" s="67"/>
      <c r="F35" s="61" t="str">
        <f t="shared" si="0"/>
        <v>借</v>
      </c>
      <c r="G35" s="64">
        <f>SUM(D$6:E35)</f>
        <v>44932</v>
      </c>
      <c r="H35" s="61"/>
      <c r="I35" s="61" t="s">
        <v>914</v>
      </c>
      <c r="J35" s="61" t="s">
        <v>236</v>
      </c>
      <c r="K35" s="64">
        <v>8</v>
      </c>
      <c r="L35" s="61"/>
      <c r="M35" s="65" t="s">
        <v>224</v>
      </c>
      <c r="N35" s="61"/>
      <c r="O35" s="61"/>
      <c r="P35" s="61"/>
      <c r="Q35" s="61"/>
      <c r="R35" s="61">
        <v>330618</v>
      </c>
      <c r="S35" s="66" t="s">
        <v>421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856</v>
      </c>
      <c r="B36" s="62">
        <v>45024</v>
      </c>
      <c r="C36" s="63" t="s">
        <v>915</v>
      </c>
      <c r="D36" s="67">
        <v>174</v>
      </c>
      <c r="E36" s="67"/>
      <c r="F36" s="61" t="str">
        <f t="shared" si="0"/>
        <v>借</v>
      </c>
      <c r="G36" s="64">
        <f>SUM(D$6:E36)</f>
        <v>45106</v>
      </c>
      <c r="H36" s="61"/>
      <c r="I36" s="61" t="s">
        <v>916</v>
      </c>
      <c r="J36" s="61" t="s">
        <v>236</v>
      </c>
      <c r="K36" s="64">
        <v>5.7</v>
      </c>
      <c r="L36" s="61"/>
      <c r="M36" s="65" t="s">
        <v>224</v>
      </c>
      <c r="N36" s="61"/>
      <c r="O36" s="61"/>
      <c r="P36" s="61"/>
      <c r="Q36" s="61"/>
      <c r="R36" s="61">
        <v>330618</v>
      </c>
      <c r="S36" s="66" t="s">
        <v>421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856</v>
      </c>
      <c r="B37" s="62">
        <v>45024</v>
      </c>
      <c r="C37" s="63" t="s">
        <v>917</v>
      </c>
      <c r="D37" s="67">
        <v>183</v>
      </c>
      <c r="E37" s="67"/>
      <c r="F37" s="61" t="str">
        <f t="shared" si="0"/>
        <v>借</v>
      </c>
      <c r="G37" s="64">
        <f>SUM(D$6:E37)</f>
        <v>45289</v>
      </c>
      <c r="H37" s="61"/>
      <c r="I37" s="61" t="s">
        <v>918</v>
      </c>
      <c r="J37" s="61" t="s">
        <v>236</v>
      </c>
      <c r="K37" s="64">
        <v>6</v>
      </c>
      <c r="L37" s="61"/>
      <c r="M37" s="65" t="s">
        <v>224</v>
      </c>
      <c r="N37" s="61"/>
      <c r="O37" s="61"/>
      <c r="P37" s="61"/>
      <c r="Q37" s="61"/>
      <c r="R37" s="61">
        <v>330618</v>
      </c>
      <c r="S37" s="66" t="s">
        <v>421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856</v>
      </c>
      <c r="B38" s="62">
        <v>45443</v>
      </c>
      <c r="C38" s="63" t="s">
        <v>919</v>
      </c>
      <c r="D38" s="67">
        <v>486000</v>
      </c>
      <c r="E38" s="67"/>
      <c r="F38" s="61" t="str">
        <f t="shared" si="0"/>
        <v>借</v>
      </c>
      <c r="G38" s="64">
        <f>SUM(D$6:E38)</f>
        <v>531289</v>
      </c>
      <c r="H38" s="61"/>
      <c r="I38" s="61" t="s">
        <v>920</v>
      </c>
      <c r="J38" s="61" t="s">
        <v>236</v>
      </c>
      <c r="K38" s="64">
        <v>15000</v>
      </c>
      <c r="L38" s="61"/>
      <c r="M38" s="65" t="s">
        <v>224</v>
      </c>
      <c r="N38" s="61"/>
      <c r="O38" s="61"/>
      <c r="P38" s="61"/>
      <c r="Q38" s="61"/>
      <c r="R38" s="61">
        <v>411199</v>
      </c>
      <c r="S38" s="66" t="s">
        <v>73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856</v>
      </c>
      <c r="B39" s="62">
        <v>45443</v>
      </c>
      <c r="C39" s="63" t="s">
        <v>921</v>
      </c>
      <c r="D39" s="67">
        <v>1619611</v>
      </c>
      <c r="E39" s="67"/>
      <c r="F39" s="61" t="str">
        <f t="shared" si="0"/>
        <v>借</v>
      </c>
      <c r="G39" s="64">
        <f>SUM(D$6:E39)</f>
        <v>2150900</v>
      </c>
      <c r="H39" s="61"/>
      <c r="I39" s="61" t="s">
        <v>922</v>
      </c>
      <c r="J39" s="61" t="s">
        <v>236</v>
      </c>
      <c r="K39" s="64">
        <v>49988</v>
      </c>
      <c r="L39" s="61"/>
      <c r="M39" s="65" t="s">
        <v>224</v>
      </c>
      <c r="N39" s="61"/>
      <c r="O39" s="61"/>
      <c r="P39" s="61"/>
      <c r="Q39" s="61"/>
      <c r="R39" s="61">
        <v>411199</v>
      </c>
      <c r="S39" s="66" t="s">
        <v>73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856</v>
      </c>
      <c r="B40" s="62">
        <v>45708</v>
      </c>
      <c r="C40" s="63" t="s">
        <v>924</v>
      </c>
      <c r="D40" s="67">
        <v>1500</v>
      </c>
      <c r="E40" s="67"/>
      <c r="F40" s="61" t="str">
        <f t="shared" si="0"/>
        <v>借</v>
      </c>
      <c r="G40" s="64">
        <f>SUM(D$6:E40)</f>
        <v>2152400</v>
      </c>
      <c r="H40" s="61"/>
      <c r="I40" s="61" t="s">
        <v>925</v>
      </c>
      <c r="J40" s="61" t="s">
        <v>114</v>
      </c>
      <c r="K40" s="64">
        <v>1500</v>
      </c>
      <c r="L40" s="61"/>
      <c r="M40" s="65" t="s">
        <v>224</v>
      </c>
      <c r="N40" s="61"/>
      <c r="O40" s="61"/>
      <c r="P40" s="61"/>
      <c r="Q40" s="61"/>
      <c r="R40" s="61">
        <v>465518</v>
      </c>
      <c r="S40" s="66" t="s">
        <v>63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856</v>
      </c>
      <c r="B41" s="62">
        <v>45897</v>
      </c>
      <c r="C41" s="63" t="s">
        <v>1108</v>
      </c>
      <c r="D41" s="67">
        <v>1200</v>
      </c>
      <c r="E41" s="67"/>
      <c r="F41" s="61" t="str">
        <f t="shared" si="0"/>
        <v>借</v>
      </c>
      <c r="G41" s="64">
        <f>SUM(D$6:E41)</f>
        <v>2153600</v>
      </c>
      <c r="H41" s="61"/>
      <c r="I41" s="61" t="s">
        <v>926</v>
      </c>
      <c r="J41" s="61" t="s">
        <v>114</v>
      </c>
      <c r="K41" s="64">
        <v>1200</v>
      </c>
      <c r="L41" s="61"/>
      <c r="M41" s="65" t="s">
        <v>224</v>
      </c>
      <c r="N41" s="61"/>
      <c r="O41" s="61">
        <v>3086</v>
      </c>
      <c r="P41" s="61"/>
      <c r="Q41" s="61"/>
      <c r="R41" s="61">
        <v>502061</v>
      </c>
      <c r="S41" s="66" t="s">
        <v>37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856</v>
      </c>
      <c r="B42" s="62">
        <v>45897</v>
      </c>
      <c r="C42" s="63" t="s">
        <v>1109</v>
      </c>
      <c r="D42" s="67">
        <v>140657</v>
      </c>
      <c r="E42" s="67"/>
      <c r="F42" s="61" t="str">
        <f t="shared" si="0"/>
        <v>借</v>
      </c>
      <c r="G42" s="64">
        <f>SUM(D$6:E42)</f>
        <v>2294257</v>
      </c>
      <c r="H42" s="61"/>
      <c r="I42" s="61" t="s">
        <v>926</v>
      </c>
      <c r="J42" s="61" t="s">
        <v>114</v>
      </c>
      <c r="K42" s="64">
        <v>140657</v>
      </c>
      <c r="L42" s="61"/>
      <c r="M42" s="65" t="s">
        <v>224</v>
      </c>
      <c r="N42" s="61"/>
      <c r="O42" s="61">
        <v>5289</v>
      </c>
      <c r="P42" s="61"/>
      <c r="Q42" s="61"/>
      <c r="R42" s="61">
        <v>502061</v>
      </c>
      <c r="S42" s="66" t="s">
        <v>37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856</v>
      </c>
      <c r="B43" s="62">
        <v>45931</v>
      </c>
      <c r="C43" s="63" t="s">
        <v>1219</v>
      </c>
      <c r="D43" s="67">
        <v>33346</v>
      </c>
      <c r="E43" s="67"/>
      <c r="F43" s="61" t="str">
        <f t="shared" si="0"/>
        <v>借</v>
      </c>
      <c r="G43" s="64">
        <f>SUM(D$6:E43)</f>
        <v>2327603</v>
      </c>
      <c r="H43" s="61"/>
      <c r="I43" s="61" t="s">
        <v>1220</v>
      </c>
      <c r="J43" s="61" t="s">
        <v>114</v>
      </c>
      <c r="K43" s="64">
        <v>33346</v>
      </c>
      <c r="L43" s="61"/>
      <c r="M43" s="65" t="s">
        <v>224</v>
      </c>
      <c r="N43" s="61"/>
      <c r="O43" s="61">
        <v>3021</v>
      </c>
      <c r="P43" s="61"/>
      <c r="Q43" s="61"/>
      <c r="R43" s="61">
        <v>514712</v>
      </c>
      <c r="S43" s="66" t="s">
        <v>783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856</v>
      </c>
      <c r="B44" s="62">
        <v>45979</v>
      </c>
      <c r="C44" s="63" t="s">
        <v>1253</v>
      </c>
      <c r="D44" s="67">
        <v>15000000</v>
      </c>
      <c r="E44" s="67"/>
      <c r="F44" s="61" t="str">
        <f t="shared" si="0"/>
        <v>借</v>
      </c>
      <c r="G44" s="64">
        <f>SUM(D$6:E44)</f>
        <v>17327603</v>
      </c>
      <c r="H44" s="61"/>
      <c r="I44" s="61" t="s">
        <v>1254</v>
      </c>
      <c r="J44" s="61" t="s">
        <v>114</v>
      </c>
      <c r="K44" s="64">
        <v>15000000</v>
      </c>
      <c r="L44" s="61"/>
      <c r="M44" s="65" t="s">
        <v>224</v>
      </c>
      <c r="N44" s="61"/>
      <c r="O44" s="61">
        <v>2609</v>
      </c>
      <c r="P44" s="61"/>
      <c r="Q44" s="61"/>
      <c r="R44" s="61">
        <v>519816</v>
      </c>
      <c r="S44" s="66" t="s">
        <v>783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856</v>
      </c>
      <c r="B45" s="62">
        <v>45989</v>
      </c>
      <c r="C45" s="63" t="s">
        <v>1255</v>
      </c>
      <c r="D45" s="67">
        <v>633457</v>
      </c>
      <c r="E45" s="67"/>
      <c r="F45" s="61" t="str">
        <f t="shared" si="0"/>
        <v>借</v>
      </c>
      <c r="G45" s="64">
        <f>SUM(D$6:E45)</f>
        <v>17961060</v>
      </c>
      <c r="H45" s="61"/>
      <c r="I45" s="61" t="s">
        <v>1256</v>
      </c>
      <c r="J45" s="61" t="s">
        <v>114</v>
      </c>
      <c r="K45" s="64">
        <v>633457</v>
      </c>
      <c r="L45" s="61"/>
      <c r="M45" s="65" t="s">
        <v>224</v>
      </c>
      <c r="N45" s="61"/>
      <c r="O45" s="61"/>
      <c r="P45" s="61"/>
      <c r="Q45" s="61"/>
      <c r="R45" s="61">
        <v>521551</v>
      </c>
      <c r="S45" s="66" t="s">
        <v>41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856</v>
      </c>
      <c r="B46" s="62">
        <v>45989</v>
      </c>
      <c r="C46" s="63" t="s">
        <v>1257</v>
      </c>
      <c r="D46" s="67">
        <v>214</v>
      </c>
      <c r="E46" s="67"/>
      <c r="F46" s="61" t="str">
        <f t="shared" si="0"/>
        <v>借</v>
      </c>
      <c r="G46" s="64">
        <f>SUM(D$6:E46)</f>
        <v>17961274</v>
      </c>
      <c r="H46" s="61"/>
      <c r="I46" s="61" t="s">
        <v>1258</v>
      </c>
      <c r="J46" s="61" t="s">
        <v>114</v>
      </c>
      <c r="K46" s="64">
        <v>214</v>
      </c>
      <c r="L46" s="61"/>
      <c r="M46" s="65" t="s">
        <v>224</v>
      </c>
      <c r="N46" s="61"/>
      <c r="O46" s="61"/>
      <c r="P46" s="61"/>
      <c r="Q46" s="61"/>
      <c r="R46" s="61">
        <v>521652</v>
      </c>
      <c r="S46" s="66" t="s">
        <v>1002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856</v>
      </c>
      <c r="B47" s="62">
        <v>46022</v>
      </c>
      <c r="C47" s="63" t="s">
        <v>1371</v>
      </c>
      <c r="D47" s="67">
        <v>635534</v>
      </c>
      <c r="E47" s="67"/>
      <c r="F47" s="61" t="str">
        <f t="shared" si="0"/>
        <v>借</v>
      </c>
      <c r="G47" s="64">
        <f>SUM(D$6:E47)</f>
        <v>18596808</v>
      </c>
      <c r="H47" s="61"/>
      <c r="I47" s="61" t="s">
        <v>1372</v>
      </c>
      <c r="J47" s="61" t="s">
        <v>114</v>
      </c>
      <c r="K47" s="64">
        <v>635534</v>
      </c>
      <c r="L47" s="61"/>
      <c r="M47" s="65" t="s">
        <v>224</v>
      </c>
      <c r="N47" s="61"/>
      <c r="O47" s="61"/>
      <c r="P47" s="61"/>
      <c r="Q47" s="61"/>
      <c r="R47" s="61">
        <v>528985</v>
      </c>
      <c r="S47" s="66" t="s">
        <v>41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856</v>
      </c>
      <c r="B48" s="62">
        <v>46022</v>
      </c>
      <c r="C48" s="63" t="s">
        <v>1373</v>
      </c>
      <c r="D48" s="67">
        <v>420</v>
      </c>
      <c r="E48" s="67"/>
      <c r="F48" s="61" t="str">
        <f t="shared" si="0"/>
        <v>借</v>
      </c>
      <c r="G48" s="64">
        <f>SUM(D$6:E48)</f>
        <v>18597228</v>
      </c>
      <c r="H48" s="61"/>
      <c r="I48" s="61" t="s">
        <v>1374</v>
      </c>
      <c r="J48" s="61" t="s">
        <v>114</v>
      </c>
      <c r="K48" s="64">
        <v>420</v>
      </c>
      <c r="L48" s="61"/>
      <c r="M48" s="65" t="s">
        <v>224</v>
      </c>
      <c r="N48" s="61"/>
      <c r="O48" s="61"/>
      <c r="P48" s="61"/>
      <c r="Q48" s="61"/>
      <c r="R48" s="61">
        <v>529264</v>
      </c>
      <c r="S48" s="66" t="s">
        <v>923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856</v>
      </c>
      <c r="B49" s="62">
        <v>46052</v>
      </c>
      <c r="C49" s="63" t="s">
        <v>1526</v>
      </c>
      <c r="D49" s="67">
        <v>896215</v>
      </c>
      <c r="E49" s="67"/>
      <c r="F49" s="61" t="str">
        <f t="shared" si="0"/>
        <v>借</v>
      </c>
      <c r="G49" s="64">
        <f>SUM(D$6:E49)</f>
        <v>19493443</v>
      </c>
      <c r="H49" s="61"/>
      <c r="I49" s="61" t="s">
        <v>1527</v>
      </c>
      <c r="J49" s="61" t="s">
        <v>114</v>
      </c>
      <c r="K49" s="64">
        <v>896215</v>
      </c>
      <c r="L49" s="61"/>
      <c r="M49" s="65" t="s">
        <v>224</v>
      </c>
      <c r="N49" s="61"/>
      <c r="O49" s="61"/>
      <c r="P49" s="61"/>
      <c r="Q49" s="61"/>
      <c r="R49" s="61">
        <v>535207</v>
      </c>
      <c r="S49" s="66" t="s">
        <v>41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856</v>
      </c>
      <c r="B50" s="62">
        <v>46052</v>
      </c>
      <c r="C50" s="63" t="s">
        <v>1524</v>
      </c>
      <c r="D50" s="67">
        <v>264</v>
      </c>
      <c r="E50" s="67"/>
      <c r="F50" s="61" t="str">
        <f t="shared" si="0"/>
        <v>借</v>
      </c>
      <c r="G50" s="64">
        <f>SUM(D$6:E50)</f>
        <v>19493707</v>
      </c>
      <c r="H50" s="61"/>
      <c r="I50" s="61" t="s">
        <v>1525</v>
      </c>
      <c r="J50" s="61" t="s">
        <v>114</v>
      </c>
      <c r="K50" s="64">
        <v>264</v>
      </c>
      <c r="L50" s="61"/>
      <c r="M50" s="65" t="s">
        <v>224</v>
      </c>
      <c r="N50" s="61"/>
      <c r="O50" s="61"/>
      <c r="P50" s="61"/>
      <c r="Q50" s="61"/>
      <c r="R50" s="61">
        <v>535251</v>
      </c>
      <c r="S50" s="66" t="s">
        <v>1002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856</v>
      </c>
      <c r="B51" s="62">
        <v>46056</v>
      </c>
      <c r="C51" s="63" t="s">
        <v>1528</v>
      </c>
      <c r="D51" s="67">
        <v>332770</v>
      </c>
      <c r="E51" s="67"/>
      <c r="F51" s="61" t="str">
        <f t="shared" si="0"/>
        <v>借</v>
      </c>
      <c r="G51" s="64">
        <f>SUM(D$6:E51)</f>
        <v>19826477</v>
      </c>
      <c r="H51" s="61"/>
      <c r="I51" s="61" t="s">
        <v>1529</v>
      </c>
      <c r="J51" s="61" t="s">
        <v>114</v>
      </c>
      <c r="K51" s="64">
        <v>332770</v>
      </c>
      <c r="L51" s="61"/>
      <c r="M51" s="65" t="s">
        <v>224</v>
      </c>
      <c r="N51" s="61"/>
      <c r="O51" s="61"/>
      <c r="P51" s="61"/>
      <c r="Q51" s="61"/>
      <c r="R51" s="61">
        <v>536102</v>
      </c>
      <c r="S51" s="66" t="s">
        <v>825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856</v>
      </c>
      <c r="B52" s="62">
        <v>46078</v>
      </c>
      <c r="C52" s="63" t="s">
        <v>1767</v>
      </c>
      <c r="D52" s="67">
        <v>1403</v>
      </c>
      <c r="E52" s="67"/>
      <c r="F52" s="61" t="str">
        <f t="shared" si="0"/>
        <v>借</v>
      </c>
      <c r="G52" s="64">
        <f>SUM(D$6:E52)</f>
        <v>19827880</v>
      </c>
      <c r="H52" s="61"/>
      <c r="I52" s="61" t="s">
        <v>1768</v>
      </c>
      <c r="J52" s="61" t="s">
        <v>114</v>
      </c>
      <c r="K52" s="64">
        <v>1403</v>
      </c>
      <c r="L52" s="61"/>
      <c r="M52" s="65" t="s">
        <v>1769</v>
      </c>
      <c r="N52" s="61"/>
      <c r="O52" s="61"/>
      <c r="P52" s="61"/>
      <c r="Q52" s="61"/>
      <c r="R52" s="61">
        <v>539260</v>
      </c>
      <c r="S52" s="66" t="s">
        <v>41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856</v>
      </c>
      <c r="B53" s="62">
        <v>46079</v>
      </c>
      <c r="C53" s="63" t="s">
        <v>1770</v>
      </c>
      <c r="D53" s="67">
        <v>504139</v>
      </c>
      <c r="E53" s="67"/>
      <c r="F53" s="61" t="str">
        <f t="shared" si="0"/>
        <v>借</v>
      </c>
      <c r="G53" s="64">
        <f>SUM(D$6:E53)</f>
        <v>20332019</v>
      </c>
      <c r="H53" s="61"/>
      <c r="I53" s="61" t="s">
        <v>1771</v>
      </c>
      <c r="J53" s="61" t="s">
        <v>114</v>
      </c>
      <c r="K53" s="64">
        <v>504139</v>
      </c>
      <c r="L53" s="61"/>
      <c r="M53" s="65" t="s">
        <v>224</v>
      </c>
      <c r="N53" s="61"/>
      <c r="O53" s="61"/>
      <c r="P53" s="61"/>
      <c r="Q53" s="61"/>
      <c r="R53" s="61">
        <v>539784</v>
      </c>
      <c r="S53" s="66" t="s">
        <v>41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856</v>
      </c>
      <c r="B54" s="62">
        <v>46079</v>
      </c>
      <c r="C54" s="63" t="s">
        <v>1772</v>
      </c>
      <c r="D54" s="67">
        <v>268</v>
      </c>
      <c r="E54" s="67"/>
      <c r="F54" s="61" t="str">
        <f t="shared" si="0"/>
        <v>借</v>
      </c>
      <c r="G54" s="64">
        <f>SUM(D$6:E54)</f>
        <v>20332287</v>
      </c>
      <c r="H54" s="61"/>
      <c r="I54" s="61" t="s">
        <v>1773</v>
      </c>
      <c r="J54" s="61" t="s">
        <v>114</v>
      </c>
      <c r="K54" s="64">
        <v>268</v>
      </c>
      <c r="L54" s="61"/>
      <c r="M54" s="65" t="s">
        <v>224</v>
      </c>
      <c r="N54" s="61"/>
      <c r="O54" s="61"/>
      <c r="P54" s="61"/>
      <c r="Q54" s="61"/>
      <c r="R54" s="61">
        <v>539992</v>
      </c>
      <c r="S54" s="66" t="s">
        <v>1002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856</v>
      </c>
      <c r="B55" s="62">
        <v>46079</v>
      </c>
      <c r="C55" s="63" t="s">
        <v>1774</v>
      </c>
      <c r="D55" s="67">
        <v>3495000</v>
      </c>
      <c r="E55" s="67"/>
      <c r="F55" s="61" t="str">
        <f t="shared" si="0"/>
        <v>借</v>
      </c>
      <c r="G55" s="64">
        <f>SUM(D$6:E55)</f>
        <v>23827287</v>
      </c>
      <c r="H55" s="61"/>
      <c r="I55" s="61" t="s">
        <v>1775</v>
      </c>
      <c r="J55" s="61" t="s">
        <v>114</v>
      </c>
      <c r="K55" s="64">
        <v>3495000</v>
      </c>
      <c r="L55" s="61"/>
      <c r="M55" s="65" t="s">
        <v>1161</v>
      </c>
      <c r="N55" s="61"/>
      <c r="O55" s="61"/>
      <c r="P55" s="61"/>
      <c r="Q55" s="61"/>
      <c r="R55" s="61">
        <v>540071</v>
      </c>
      <c r="S55" s="66" t="s">
        <v>41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856</v>
      </c>
      <c r="B56" s="62">
        <v>46093</v>
      </c>
      <c r="C56" s="63" t="s">
        <v>2879</v>
      </c>
      <c r="D56" s="67">
        <v>1524000</v>
      </c>
      <c r="E56" s="67"/>
      <c r="F56" s="61" t="str">
        <f t="shared" si="0"/>
        <v>借</v>
      </c>
      <c r="G56" s="64">
        <f>SUM(D$6:E56)</f>
        <v>25351287</v>
      </c>
      <c r="H56" s="61"/>
      <c r="I56" s="61" t="s">
        <v>926</v>
      </c>
      <c r="J56" s="61" t="s">
        <v>114</v>
      </c>
      <c r="K56" s="64">
        <v>1524000</v>
      </c>
      <c r="L56" s="61"/>
      <c r="M56" s="65" t="s">
        <v>224</v>
      </c>
      <c r="N56" s="61"/>
      <c r="O56" s="61">
        <v>1342</v>
      </c>
      <c r="P56" s="61"/>
      <c r="Q56" s="61"/>
      <c r="R56" s="61">
        <v>542609</v>
      </c>
      <c r="S56" s="66" t="s">
        <v>783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856</v>
      </c>
      <c r="B57" s="62">
        <v>46097</v>
      </c>
      <c r="C57" s="63" t="s">
        <v>2880</v>
      </c>
      <c r="D57" s="67">
        <v>2800000</v>
      </c>
      <c r="E57" s="67"/>
      <c r="F57" s="61" t="str">
        <f t="shared" si="0"/>
        <v>借</v>
      </c>
      <c r="G57" s="64">
        <f>SUM(D$6:E57)</f>
        <v>28151287</v>
      </c>
      <c r="H57" s="61"/>
      <c r="I57" s="61" t="s">
        <v>926</v>
      </c>
      <c r="J57" s="61" t="s">
        <v>114</v>
      </c>
      <c r="K57" s="64">
        <v>2800000</v>
      </c>
      <c r="L57" s="61"/>
      <c r="M57" s="65" t="s">
        <v>224</v>
      </c>
      <c r="N57" s="61"/>
      <c r="O57" s="61">
        <v>9802</v>
      </c>
      <c r="P57" s="61"/>
      <c r="Q57" s="61"/>
      <c r="R57" s="61">
        <v>543624</v>
      </c>
      <c r="S57" s="66" t="s">
        <v>783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856</v>
      </c>
      <c r="B58" s="62">
        <v>46098</v>
      </c>
      <c r="C58" s="63" t="s">
        <v>2881</v>
      </c>
      <c r="D58" s="67">
        <v>20115200</v>
      </c>
      <c r="E58" s="67"/>
      <c r="F58" s="61" t="str">
        <f t="shared" si="0"/>
        <v>借</v>
      </c>
      <c r="G58" s="64">
        <f>SUM(D$6:E58)</f>
        <v>48266487</v>
      </c>
      <c r="H58" s="61"/>
      <c r="I58" s="61" t="s">
        <v>926</v>
      </c>
      <c r="J58" s="61" t="s">
        <v>114</v>
      </c>
      <c r="K58" s="64">
        <v>20115200</v>
      </c>
      <c r="L58" s="61"/>
      <c r="M58" s="65" t="s">
        <v>224</v>
      </c>
      <c r="N58" s="61"/>
      <c r="O58" s="61" t="s">
        <v>2882</v>
      </c>
      <c r="P58" s="61"/>
      <c r="Q58" s="61"/>
      <c r="R58" s="61">
        <v>543625</v>
      </c>
      <c r="S58" s="66" t="s">
        <v>783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856</v>
      </c>
      <c r="B59" s="62">
        <v>46098</v>
      </c>
      <c r="C59" s="63" t="s">
        <v>2883</v>
      </c>
      <c r="D59" s="67">
        <v>181170</v>
      </c>
      <c r="E59" s="67"/>
      <c r="F59" s="61" t="str">
        <f t="shared" si="0"/>
        <v>借</v>
      </c>
      <c r="G59" s="64">
        <f>SUM(D$6:E59)</f>
        <v>48447657</v>
      </c>
      <c r="H59" s="61"/>
      <c r="I59" s="61" t="s">
        <v>926</v>
      </c>
      <c r="J59" s="61" t="s">
        <v>114</v>
      </c>
      <c r="K59" s="64">
        <v>181170</v>
      </c>
      <c r="L59" s="61"/>
      <c r="M59" s="65" t="s">
        <v>224</v>
      </c>
      <c r="N59" s="61"/>
      <c r="O59" s="61">
        <v>730</v>
      </c>
      <c r="P59" s="61"/>
      <c r="Q59" s="61"/>
      <c r="R59" s="61">
        <v>543625</v>
      </c>
      <c r="S59" s="66" t="s">
        <v>783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856</v>
      </c>
      <c r="B60" s="62">
        <v>46098</v>
      </c>
      <c r="C60" s="63" t="s">
        <v>2884</v>
      </c>
      <c r="D60" s="67">
        <v>392340</v>
      </c>
      <c r="E60" s="67"/>
      <c r="F60" s="61" t="str">
        <f t="shared" si="0"/>
        <v>借</v>
      </c>
      <c r="G60" s="64">
        <f>SUM(D$6:E60)</f>
        <v>48839997</v>
      </c>
      <c r="H60" s="61"/>
      <c r="I60" s="61" t="s">
        <v>926</v>
      </c>
      <c r="J60" s="61" t="s">
        <v>114</v>
      </c>
      <c r="K60" s="64">
        <v>392340</v>
      </c>
      <c r="L60" s="61"/>
      <c r="M60" s="65" t="s">
        <v>224</v>
      </c>
      <c r="N60" s="61"/>
      <c r="O60" s="61" t="s">
        <v>1486</v>
      </c>
      <c r="P60" s="61"/>
      <c r="Q60" s="61"/>
      <c r="R60" s="61">
        <v>543625</v>
      </c>
      <c r="S60" s="66" t="s">
        <v>783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856</v>
      </c>
      <c r="B61" s="62">
        <v>46098</v>
      </c>
      <c r="C61" s="63" t="s">
        <v>2885</v>
      </c>
      <c r="D61" s="67">
        <v>20099</v>
      </c>
      <c r="E61" s="67"/>
      <c r="F61" s="61" t="str">
        <f t="shared" si="0"/>
        <v>借</v>
      </c>
      <c r="G61" s="64">
        <f>SUM(D$6:E61)</f>
        <v>48860096</v>
      </c>
      <c r="H61" s="61"/>
      <c r="I61" s="61" t="s">
        <v>926</v>
      </c>
      <c r="J61" s="61" t="s">
        <v>114</v>
      </c>
      <c r="K61" s="64">
        <v>20099</v>
      </c>
      <c r="L61" s="61"/>
      <c r="M61" s="65" t="s">
        <v>224</v>
      </c>
      <c r="N61" s="61"/>
      <c r="O61" s="61" t="s">
        <v>1487</v>
      </c>
      <c r="P61" s="61"/>
      <c r="Q61" s="61"/>
      <c r="R61" s="61">
        <v>543625</v>
      </c>
      <c r="S61" s="66" t="s">
        <v>783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856</v>
      </c>
      <c r="B62" s="62">
        <v>46098</v>
      </c>
      <c r="C62" s="63" t="s">
        <v>2886</v>
      </c>
      <c r="D62" s="67">
        <v>786560</v>
      </c>
      <c r="E62" s="67"/>
      <c r="F62" s="61" t="str">
        <f t="shared" si="0"/>
        <v>借</v>
      </c>
      <c r="G62" s="64">
        <f>SUM(D$6:E62)</f>
        <v>49646656</v>
      </c>
      <c r="H62" s="61"/>
      <c r="I62" s="61" t="s">
        <v>926</v>
      </c>
      <c r="J62" s="61" t="s">
        <v>114</v>
      </c>
      <c r="K62" s="64">
        <v>786560</v>
      </c>
      <c r="L62" s="61"/>
      <c r="M62" s="65" t="s">
        <v>224</v>
      </c>
      <c r="N62" s="61"/>
      <c r="O62" s="61" t="s">
        <v>2887</v>
      </c>
      <c r="P62" s="61"/>
      <c r="Q62" s="61"/>
      <c r="R62" s="61">
        <v>543625</v>
      </c>
      <c r="S62" s="66" t="s">
        <v>783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856</v>
      </c>
      <c r="B63" s="62">
        <v>46098</v>
      </c>
      <c r="C63" s="63" t="s">
        <v>2888</v>
      </c>
      <c r="D63" s="67">
        <v>1135960</v>
      </c>
      <c r="E63" s="67"/>
      <c r="F63" s="61" t="str">
        <f t="shared" si="0"/>
        <v>借</v>
      </c>
      <c r="G63" s="64">
        <f>SUM(D$6:E63)</f>
        <v>50782616</v>
      </c>
      <c r="H63" s="61"/>
      <c r="I63" s="61" t="s">
        <v>926</v>
      </c>
      <c r="J63" s="61" t="s">
        <v>114</v>
      </c>
      <c r="K63" s="64">
        <v>1135960</v>
      </c>
      <c r="L63" s="61"/>
      <c r="M63" s="65" t="s">
        <v>224</v>
      </c>
      <c r="N63" s="61"/>
      <c r="O63" s="61" t="s">
        <v>1367</v>
      </c>
      <c r="P63" s="61"/>
      <c r="Q63" s="61"/>
      <c r="R63" s="61">
        <v>543625</v>
      </c>
      <c r="S63" s="66" t="s">
        <v>783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856</v>
      </c>
      <c r="B64" s="62">
        <v>46098</v>
      </c>
      <c r="C64" s="63" t="s">
        <v>2889</v>
      </c>
      <c r="D64" s="67">
        <v>279560</v>
      </c>
      <c r="E64" s="67"/>
      <c r="F64" s="61" t="str">
        <f t="shared" si="0"/>
        <v>借</v>
      </c>
      <c r="G64" s="64">
        <f>SUM(D$6:E64)</f>
        <v>51062176</v>
      </c>
      <c r="H64" s="61"/>
      <c r="I64" s="61" t="s">
        <v>926</v>
      </c>
      <c r="J64" s="61" t="s">
        <v>114</v>
      </c>
      <c r="K64" s="64">
        <v>279560</v>
      </c>
      <c r="L64" s="61"/>
      <c r="M64" s="65" t="s">
        <v>224</v>
      </c>
      <c r="N64" s="61"/>
      <c r="O64" s="61" t="s">
        <v>1368</v>
      </c>
      <c r="P64" s="61"/>
      <c r="Q64" s="61"/>
      <c r="R64" s="61">
        <v>543625</v>
      </c>
      <c r="S64" s="66" t="s">
        <v>783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856</v>
      </c>
      <c r="B65" s="62">
        <v>46098</v>
      </c>
      <c r="C65" s="63" t="s">
        <v>2890</v>
      </c>
      <c r="D65" s="67">
        <v>51129</v>
      </c>
      <c r="E65" s="67"/>
      <c r="F65" s="61" t="str">
        <f t="shared" si="0"/>
        <v>借</v>
      </c>
      <c r="G65" s="64">
        <f>SUM(D$6:E65)</f>
        <v>51113305</v>
      </c>
      <c r="H65" s="61"/>
      <c r="I65" s="61" t="s">
        <v>926</v>
      </c>
      <c r="J65" s="61" t="s">
        <v>114</v>
      </c>
      <c r="K65" s="64">
        <v>51129</v>
      </c>
      <c r="L65" s="61"/>
      <c r="M65" s="65" t="s">
        <v>224</v>
      </c>
      <c r="N65" s="61"/>
      <c r="O65" s="61" t="s">
        <v>2891</v>
      </c>
      <c r="P65" s="61"/>
      <c r="Q65" s="61"/>
      <c r="R65" s="61">
        <v>543625</v>
      </c>
      <c r="S65" s="66" t="s">
        <v>783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856</v>
      </c>
      <c r="B66" s="62">
        <v>46098</v>
      </c>
      <c r="C66" s="63" t="s">
        <v>2892</v>
      </c>
      <c r="D66" s="67">
        <v>42980</v>
      </c>
      <c r="E66" s="67"/>
      <c r="F66" s="61" t="str">
        <f t="shared" si="0"/>
        <v>借</v>
      </c>
      <c r="G66" s="64">
        <f>SUM(D$6:E66)</f>
        <v>51156285</v>
      </c>
      <c r="H66" s="61"/>
      <c r="I66" s="61" t="s">
        <v>926</v>
      </c>
      <c r="J66" s="61" t="s">
        <v>114</v>
      </c>
      <c r="K66" s="64">
        <v>42980</v>
      </c>
      <c r="L66" s="61"/>
      <c r="M66" s="65" t="s">
        <v>224</v>
      </c>
      <c r="N66" s="61"/>
      <c r="O66" s="61" t="s">
        <v>2893</v>
      </c>
      <c r="P66" s="61"/>
      <c r="Q66" s="61"/>
      <c r="R66" s="61">
        <v>543625</v>
      </c>
      <c r="S66" s="66" t="s">
        <v>783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856</v>
      </c>
      <c r="B67" s="62">
        <v>46098</v>
      </c>
      <c r="C67" s="63" t="s">
        <v>2894</v>
      </c>
      <c r="D67" s="67">
        <v>4200</v>
      </c>
      <c r="E67" s="67"/>
      <c r="F67" s="61" t="str">
        <f t="shared" si="0"/>
        <v>借</v>
      </c>
      <c r="G67" s="64">
        <f>SUM(D$6:E67)</f>
        <v>51160485</v>
      </c>
      <c r="H67" s="61"/>
      <c r="I67" s="61" t="s">
        <v>926</v>
      </c>
      <c r="J67" s="61" t="s">
        <v>114</v>
      </c>
      <c r="K67" s="64">
        <v>4200</v>
      </c>
      <c r="L67" s="61"/>
      <c r="M67" s="65" t="s">
        <v>224</v>
      </c>
      <c r="N67" s="61"/>
      <c r="O67" s="61" t="s">
        <v>1488</v>
      </c>
      <c r="P67" s="61"/>
      <c r="Q67" s="61"/>
      <c r="R67" s="61">
        <v>543625</v>
      </c>
      <c r="S67" s="66" t="s">
        <v>783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856</v>
      </c>
      <c r="B68" s="62">
        <v>46098</v>
      </c>
      <c r="C68" s="63" t="s">
        <v>2895</v>
      </c>
      <c r="D68" s="67">
        <v>1496600</v>
      </c>
      <c r="E68" s="67"/>
      <c r="F68" s="61" t="str">
        <f t="shared" si="0"/>
        <v>借</v>
      </c>
      <c r="G68" s="64">
        <f>SUM(D$6:E68)</f>
        <v>52657085</v>
      </c>
      <c r="H68" s="61"/>
      <c r="I68" s="61" t="s">
        <v>926</v>
      </c>
      <c r="J68" s="61" t="s">
        <v>114</v>
      </c>
      <c r="K68" s="64">
        <v>1496600</v>
      </c>
      <c r="L68" s="61"/>
      <c r="M68" s="65" t="s">
        <v>224</v>
      </c>
      <c r="N68" s="61"/>
      <c r="O68" s="61">
        <v>896</v>
      </c>
      <c r="P68" s="61"/>
      <c r="Q68" s="61"/>
      <c r="R68" s="61">
        <v>543625</v>
      </c>
      <c r="S68" s="66" t="s">
        <v>783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856</v>
      </c>
      <c r="B69" s="62">
        <v>46098</v>
      </c>
      <c r="C69" s="63" t="s">
        <v>2896</v>
      </c>
      <c r="D69" s="67">
        <v>2375400</v>
      </c>
      <c r="E69" s="67"/>
      <c r="F69" s="61" t="str">
        <f t="shared" si="0"/>
        <v>借</v>
      </c>
      <c r="G69" s="64">
        <f>SUM(D$6:E69)</f>
        <v>55032485</v>
      </c>
      <c r="H69" s="61"/>
      <c r="I69" s="61" t="s">
        <v>926</v>
      </c>
      <c r="J69" s="61" t="s">
        <v>114</v>
      </c>
      <c r="K69" s="64">
        <v>2375400</v>
      </c>
      <c r="L69" s="61"/>
      <c r="M69" s="65" t="s">
        <v>224</v>
      </c>
      <c r="N69" s="61"/>
      <c r="O69" s="61">
        <v>900</v>
      </c>
      <c r="P69" s="61"/>
      <c r="Q69" s="61"/>
      <c r="R69" s="61">
        <v>543625</v>
      </c>
      <c r="S69" s="66" t="s">
        <v>783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856</v>
      </c>
      <c r="B70" s="62">
        <v>46098</v>
      </c>
      <c r="C70" s="63" t="s">
        <v>2897</v>
      </c>
      <c r="D70" s="67">
        <v>2530420</v>
      </c>
      <c r="E70" s="67"/>
      <c r="F70" s="61" t="str">
        <f t="shared" si="0"/>
        <v>借</v>
      </c>
      <c r="G70" s="64">
        <f>SUM(D$6:E70)</f>
        <v>57562905</v>
      </c>
      <c r="H70" s="61"/>
      <c r="I70" s="61" t="s">
        <v>926</v>
      </c>
      <c r="J70" s="61" t="s">
        <v>114</v>
      </c>
      <c r="K70" s="64">
        <v>2530420</v>
      </c>
      <c r="L70" s="61"/>
      <c r="M70" s="65" t="s">
        <v>224</v>
      </c>
      <c r="N70" s="61"/>
      <c r="O70" s="61">
        <v>915</v>
      </c>
      <c r="P70" s="61"/>
      <c r="Q70" s="61"/>
      <c r="R70" s="61">
        <v>543625</v>
      </c>
      <c r="S70" s="66" t="s">
        <v>783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856</v>
      </c>
      <c r="B71" s="62">
        <v>46098</v>
      </c>
      <c r="C71" s="63" t="s">
        <v>2898</v>
      </c>
      <c r="D71" s="67">
        <v>77895480</v>
      </c>
      <c r="E71" s="67"/>
      <c r="F71" s="61" t="str">
        <f t="shared" ref="F71:F134" si="1">IF(G71&gt;0,"借","貸")</f>
        <v>借</v>
      </c>
      <c r="G71" s="64">
        <f>SUM(D$6:E71)</f>
        <v>135458385</v>
      </c>
      <c r="H71" s="61"/>
      <c r="I71" s="61" t="s">
        <v>926</v>
      </c>
      <c r="J71" s="61" t="s">
        <v>114</v>
      </c>
      <c r="K71" s="64">
        <v>77895480</v>
      </c>
      <c r="L71" s="61"/>
      <c r="M71" s="65" t="s">
        <v>224</v>
      </c>
      <c r="N71" s="61"/>
      <c r="O71" s="61">
        <v>919</v>
      </c>
      <c r="P71" s="61"/>
      <c r="Q71" s="61"/>
      <c r="R71" s="61">
        <v>543625</v>
      </c>
      <c r="S71" s="66" t="s">
        <v>783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856</v>
      </c>
      <c r="B72" s="62">
        <v>46098</v>
      </c>
      <c r="C72" s="63" t="s">
        <v>2899</v>
      </c>
      <c r="D72" s="67">
        <v>56894000</v>
      </c>
      <c r="E72" s="67"/>
      <c r="F72" s="61" t="str">
        <f t="shared" si="1"/>
        <v>借</v>
      </c>
      <c r="G72" s="64">
        <f>SUM(D$6:E72)</f>
        <v>192352385</v>
      </c>
      <c r="H72" s="61"/>
      <c r="I72" s="61" t="s">
        <v>926</v>
      </c>
      <c r="J72" s="61" t="s">
        <v>114</v>
      </c>
      <c r="K72" s="64">
        <v>56894000</v>
      </c>
      <c r="L72" s="61"/>
      <c r="M72" s="65" t="s">
        <v>224</v>
      </c>
      <c r="N72" s="61"/>
      <c r="O72" s="61">
        <v>922</v>
      </c>
      <c r="P72" s="61"/>
      <c r="Q72" s="61"/>
      <c r="R72" s="61">
        <v>543625</v>
      </c>
      <c r="S72" s="66" t="s">
        <v>783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856</v>
      </c>
      <c r="B73" s="62">
        <v>46098</v>
      </c>
      <c r="C73" s="63" t="s">
        <v>2900</v>
      </c>
      <c r="D73" s="67">
        <v>676656</v>
      </c>
      <c r="E73" s="67"/>
      <c r="F73" s="61" t="str">
        <f t="shared" si="1"/>
        <v>借</v>
      </c>
      <c r="G73" s="64">
        <f>SUM(D$6:E73)</f>
        <v>193029041</v>
      </c>
      <c r="H73" s="61"/>
      <c r="I73" s="61" t="s">
        <v>926</v>
      </c>
      <c r="J73" s="61" t="s">
        <v>114</v>
      </c>
      <c r="K73" s="64">
        <v>676656</v>
      </c>
      <c r="L73" s="61"/>
      <c r="M73" s="65" t="s">
        <v>224</v>
      </c>
      <c r="N73" s="61"/>
      <c r="O73" s="61" t="s">
        <v>1489</v>
      </c>
      <c r="P73" s="61"/>
      <c r="Q73" s="61"/>
      <c r="R73" s="61">
        <v>543625</v>
      </c>
      <c r="S73" s="66" t="s">
        <v>783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856</v>
      </c>
      <c r="B74" s="62">
        <v>46098</v>
      </c>
      <c r="C74" s="63" t="s">
        <v>2901</v>
      </c>
      <c r="D74" s="67">
        <v>922320</v>
      </c>
      <c r="E74" s="67"/>
      <c r="F74" s="61" t="str">
        <f t="shared" si="1"/>
        <v>借</v>
      </c>
      <c r="G74" s="64">
        <f>SUM(D$6:E74)</f>
        <v>193951361</v>
      </c>
      <c r="H74" s="61"/>
      <c r="I74" s="61" t="s">
        <v>926</v>
      </c>
      <c r="J74" s="61" t="s">
        <v>114</v>
      </c>
      <c r="K74" s="64">
        <v>922320</v>
      </c>
      <c r="L74" s="61"/>
      <c r="M74" s="65" t="s">
        <v>224</v>
      </c>
      <c r="N74" s="61"/>
      <c r="O74" s="61">
        <v>934</v>
      </c>
      <c r="P74" s="61"/>
      <c r="Q74" s="61"/>
      <c r="R74" s="61">
        <v>543625</v>
      </c>
      <c r="S74" s="66" t="s">
        <v>783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856</v>
      </c>
      <c r="B75" s="62">
        <v>46098</v>
      </c>
      <c r="C75" s="63" t="s">
        <v>2902</v>
      </c>
      <c r="D75" s="67">
        <v>4923600</v>
      </c>
      <c r="E75" s="67"/>
      <c r="F75" s="61" t="str">
        <f t="shared" si="1"/>
        <v>借</v>
      </c>
      <c r="G75" s="64">
        <f>SUM(D$6:E75)</f>
        <v>198874961</v>
      </c>
      <c r="H75" s="61"/>
      <c r="I75" s="61" t="s">
        <v>926</v>
      </c>
      <c r="J75" s="61" t="s">
        <v>114</v>
      </c>
      <c r="K75" s="64">
        <v>4923600</v>
      </c>
      <c r="L75" s="61"/>
      <c r="M75" s="65" t="s">
        <v>224</v>
      </c>
      <c r="N75" s="61"/>
      <c r="O75" s="61">
        <v>935</v>
      </c>
      <c r="P75" s="61"/>
      <c r="Q75" s="61"/>
      <c r="R75" s="61">
        <v>543625</v>
      </c>
      <c r="S75" s="66" t="s">
        <v>783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856</v>
      </c>
      <c r="B76" s="62">
        <v>46098</v>
      </c>
      <c r="C76" s="63" t="s">
        <v>2903</v>
      </c>
      <c r="D76" s="67">
        <v>7800408</v>
      </c>
      <c r="E76" s="67"/>
      <c r="F76" s="61" t="str">
        <f t="shared" si="1"/>
        <v>借</v>
      </c>
      <c r="G76" s="64">
        <f>SUM(D$6:E76)</f>
        <v>206675369</v>
      </c>
      <c r="H76" s="61"/>
      <c r="I76" s="61" t="s">
        <v>926</v>
      </c>
      <c r="J76" s="61" t="s">
        <v>114</v>
      </c>
      <c r="K76" s="64">
        <v>7800408</v>
      </c>
      <c r="L76" s="61"/>
      <c r="M76" s="65" t="s">
        <v>224</v>
      </c>
      <c r="N76" s="61"/>
      <c r="O76" s="61" t="s">
        <v>1490</v>
      </c>
      <c r="P76" s="61"/>
      <c r="Q76" s="61"/>
      <c r="R76" s="61">
        <v>543625</v>
      </c>
      <c r="S76" s="66" t="s">
        <v>783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61" t="s">
        <v>856</v>
      </c>
      <c r="B77" s="62">
        <v>46098</v>
      </c>
      <c r="C77" s="63" t="s">
        <v>2904</v>
      </c>
      <c r="D77" s="67">
        <v>70794</v>
      </c>
      <c r="E77" s="67"/>
      <c r="F77" s="61" t="str">
        <f t="shared" si="1"/>
        <v>借</v>
      </c>
      <c r="G77" s="64">
        <f>SUM(D$6:E77)</f>
        <v>206746163</v>
      </c>
      <c r="H77" s="61"/>
      <c r="I77" s="61" t="s">
        <v>926</v>
      </c>
      <c r="J77" s="61" t="s">
        <v>114</v>
      </c>
      <c r="K77" s="64">
        <v>70794</v>
      </c>
      <c r="L77" s="61"/>
      <c r="M77" s="65" t="s">
        <v>224</v>
      </c>
      <c r="N77" s="61"/>
      <c r="O77" s="61">
        <v>944</v>
      </c>
      <c r="P77" s="61"/>
      <c r="Q77" s="61"/>
      <c r="R77" s="61">
        <v>543625</v>
      </c>
      <c r="S77" s="66" t="s">
        <v>783</v>
      </c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61" t="s">
        <v>856</v>
      </c>
      <c r="B78" s="62">
        <v>46098</v>
      </c>
      <c r="C78" s="63" t="s">
        <v>2905</v>
      </c>
      <c r="D78" s="67">
        <v>589512</v>
      </c>
      <c r="E78" s="67"/>
      <c r="F78" s="61" t="str">
        <f t="shared" si="1"/>
        <v>借</v>
      </c>
      <c r="G78" s="64">
        <f>SUM(D$6:E78)</f>
        <v>207335675</v>
      </c>
      <c r="H78" s="61"/>
      <c r="I78" s="61" t="s">
        <v>926</v>
      </c>
      <c r="J78" s="61" t="s">
        <v>114</v>
      </c>
      <c r="K78" s="64">
        <v>589512</v>
      </c>
      <c r="L78" s="61"/>
      <c r="M78" s="65" t="s">
        <v>224</v>
      </c>
      <c r="N78" s="61"/>
      <c r="O78" s="61" t="s">
        <v>1491</v>
      </c>
      <c r="P78" s="61"/>
      <c r="Q78" s="61"/>
      <c r="R78" s="61">
        <v>543625</v>
      </c>
      <c r="S78" s="66" t="s">
        <v>783</v>
      </c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61" t="s">
        <v>856</v>
      </c>
      <c r="B79" s="62">
        <v>46098</v>
      </c>
      <c r="C79" s="63" t="s">
        <v>2906</v>
      </c>
      <c r="D79" s="67">
        <v>285600</v>
      </c>
      <c r="E79" s="67"/>
      <c r="F79" s="61" t="str">
        <f t="shared" si="1"/>
        <v>借</v>
      </c>
      <c r="G79" s="64">
        <f>SUM(D$6:E79)</f>
        <v>207621275</v>
      </c>
      <c r="H79" s="61"/>
      <c r="I79" s="61" t="s">
        <v>926</v>
      </c>
      <c r="J79" s="61" t="s">
        <v>114</v>
      </c>
      <c r="K79" s="64">
        <v>285600</v>
      </c>
      <c r="L79" s="61"/>
      <c r="M79" s="65" t="s">
        <v>224</v>
      </c>
      <c r="N79" s="61"/>
      <c r="O79" s="61" t="s">
        <v>1369</v>
      </c>
      <c r="P79" s="61"/>
      <c r="Q79" s="61"/>
      <c r="R79" s="61">
        <v>543625</v>
      </c>
      <c r="S79" s="66" t="s">
        <v>783</v>
      </c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 s="61" t="s">
        <v>856</v>
      </c>
      <c r="B80" s="62">
        <v>46098</v>
      </c>
      <c r="C80" s="63" t="s">
        <v>2907</v>
      </c>
      <c r="D80" s="67">
        <v>126450</v>
      </c>
      <c r="E80" s="67"/>
      <c r="F80" s="61" t="str">
        <f t="shared" si="1"/>
        <v>借</v>
      </c>
      <c r="G80" s="64">
        <f>SUM(D$6:E80)</f>
        <v>207747725</v>
      </c>
      <c r="H80" s="61"/>
      <c r="I80" s="61" t="s">
        <v>926</v>
      </c>
      <c r="J80" s="61" t="s">
        <v>114</v>
      </c>
      <c r="K80" s="64">
        <v>126450</v>
      </c>
      <c r="L80" s="61"/>
      <c r="M80" s="65" t="s">
        <v>224</v>
      </c>
      <c r="N80" s="61"/>
      <c r="O80" s="61">
        <v>952</v>
      </c>
      <c r="P80" s="61"/>
      <c r="Q80" s="61"/>
      <c r="R80" s="61">
        <v>543625</v>
      </c>
      <c r="S80" s="66" t="s">
        <v>783</v>
      </c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 s="61" t="s">
        <v>856</v>
      </c>
      <c r="B81" s="62">
        <v>46098</v>
      </c>
      <c r="C81" s="63" t="s">
        <v>2908</v>
      </c>
      <c r="D81" s="67">
        <v>330986</v>
      </c>
      <c r="E81" s="67"/>
      <c r="F81" s="61" t="str">
        <f t="shared" si="1"/>
        <v>借</v>
      </c>
      <c r="G81" s="64">
        <f>SUM(D$6:E81)</f>
        <v>208078711</v>
      </c>
      <c r="H81" s="61"/>
      <c r="I81" s="61" t="s">
        <v>926</v>
      </c>
      <c r="J81" s="61" t="s">
        <v>114</v>
      </c>
      <c r="K81" s="64">
        <v>330986</v>
      </c>
      <c r="L81" s="61"/>
      <c r="M81" s="65" t="s">
        <v>224</v>
      </c>
      <c r="N81" s="61"/>
      <c r="O81" s="61">
        <v>961</v>
      </c>
      <c r="P81" s="61"/>
      <c r="Q81" s="61"/>
      <c r="R81" s="61">
        <v>543625</v>
      </c>
      <c r="S81" s="66" t="s">
        <v>783</v>
      </c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 s="61" t="s">
        <v>856</v>
      </c>
      <c r="B82" s="62">
        <v>46098</v>
      </c>
      <c r="C82" s="63" t="s">
        <v>2909</v>
      </c>
      <c r="D82" s="67">
        <v>14265</v>
      </c>
      <c r="E82" s="67"/>
      <c r="F82" s="61" t="str">
        <f t="shared" si="1"/>
        <v>借</v>
      </c>
      <c r="G82" s="64">
        <f>SUM(D$6:E82)</f>
        <v>208092976</v>
      </c>
      <c r="H82" s="61"/>
      <c r="I82" s="61" t="s">
        <v>926</v>
      </c>
      <c r="J82" s="61" t="s">
        <v>114</v>
      </c>
      <c r="K82" s="64">
        <v>14265</v>
      </c>
      <c r="L82" s="61"/>
      <c r="M82" s="65" t="s">
        <v>224</v>
      </c>
      <c r="N82" s="61"/>
      <c r="O82" s="61">
        <v>963</v>
      </c>
      <c r="P82" s="61"/>
      <c r="Q82" s="61"/>
      <c r="R82" s="61">
        <v>543625</v>
      </c>
      <c r="S82" s="66" t="s">
        <v>783</v>
      </c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 s="61" t="s">
        <v>856</v>
      </c>
      <c r="B83" s="62">
        <v>46098</v>
      </c>
      <c r="C83" s="63" t="s">
        <v>2910</v>
      </c>
      <c r="D83" s="67">
        <v>55800</v>
      </c>
      <c r="E83" s="67"/>
      <c r="F83" s="61" t="str">
        <f t="shared" si="1"/>
        <v>借</v>
      </c>
      <c r="G83" s="64">
        <f>SUM(D$6:E83)</f>
        <v>208148776</v>
      </c>
      <c r="H83" s="61"/>
      <c r="I83" s="61" t="s">
        <v>926</v>
      </c>
      <c r="J83" s="61" t="s">
        <v>114</v>
      </c>
      <c r="K83" s="64">
        <v>55800</v>
      </c>
      <c r="L83" s="61"/>
      <c r="M83" s="65" t="s">
        <v>224</v>
      </c>
      <c r="N83" s="61"/>
      <c r="O83" s="61">
        <v>964</v>
      </c>
      <c r="P83" s="61"/>
      <c r="Q83" s="61"/>
      <c r="R83" s="61">
        <v>543625</v>
      </c>
      <c r="S83" s="66" t="s">
        <v>783</v>
      </c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 s="61" t="s">
        <v>856</v>
      </c>
      <c r="B84" s="62">
        <v>46098</v>
      </c>
      <c r="C84" s="63" t="s">
        <v>2911</v>
      </c>
      <c r="D84" s="67">
        <v>32940</v>
      </c>
      <c r="E84" s="67"/>
      <c r="F84" s="61" t="str">
        <f t="shared" si="1"/>
        <v>借</v>
      </c>
      <c r="G84" s="64">
        <f>SUM(D$6:E84)</f>
        <v>208181716</v>
      </c>
      <c r="H84" s="61"/>
      <c r="I84" s="61" t="s">
        <v>926</v>
      </c>
      <c r="J84" s="61" t="s">
        <v>114</v>
      </c>
      <c r="K84" s="64">
        <v>32940</v>
      </c>
      <c r="L84" s="61"/>
      <c r="M84" s="65" t="s">
        <v>224</v>
      </c>
      <c r="N84" s="61"/>
      <c r="O84" s="61">
        <v>972</v>
      </c>
      <c r="P84" s="61"/>
      <c r="Q84" s="61"/>
      <c r="R84" s="61">
        <v>543625</v>
      </c>
      <c r="S84" s="66" t="s">
        <v>783</v>
      </c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 s="61" t="s">
        <v>856</v>
      </c>
      <c r="B85" s="62">
        <v>46098</v>
      </c>
      <c r="C85" s="63" t="s">
        <v>2912</v>
      </c>
      <c r="D85" s="67">
        <v>230184</v>
      </c>
      <c r="E85" s="67"/>
      <c r="F85" s="61" t="str">
        <f t="shared" si="1"/>
        <v>借</v>
      </c>
      <c r="G85" s="64">
        <f>SUM(D$6:E85)</f>
        <v>208411900</v>
      </c>
      <c r="H85" s="61"/>
      <c r="I85" s="61" t="s">
        <v>926</v>
      </c>
      <c r="J85" s="61" t="s">
        <v>114</v>
      </c>
      <c r="K85" s="64">
        <v>230184</v>
      </c>
      <c r="L85" s="61"/>
      <c r="M85" s="65" t="s">
        <v>224</v>
      </c>
      <c r="N85" s="61"/>
      <c r="O85" s="61">
        <v>9802</v>
      </c>
      <c r="P85" s="61"/>
      <c r="Q85" s="61"/>
      <c r="R85" s="61">
        <v>543625</v>
      </c>
      <c r="S85" s="66" t="s">
        <v>783</v>
      </c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 s="61" t="s">
        <v>856</v>
      </c>
      <c r="B86" s="62">
        <v>46098</v>
      </c>
      <c r="C86" s="63" t="s">
        <v>2913</v>
      </c>
      <c r="D86" s="67">
        <v>568000</v>
      </c>
      <c r="E86" s="67"/>
      <c r="F86" s="61" t="str">
        <f t="shared" si="1"/>
        <v>借</v>
      </c>
      <c r="G86" s="64">
        <f>SUM(D$6:E86)</f>
        <v>208979900</v>
      </c>
      <c r="H86" s="61"/>
      <c r="I86" s="61" t="s">
        <v>926</v>
      </c>
      <c r="J86" s="61" t="s">
        <v>114</v>
      </c>
      <c r="K86" s="64">
        <v>568000</v>
      </c>
      <c r="L86" s="61"/>
      <c r="M86" s="65" t="s">
        <v>224</v>
      </c>
      <c r="N86" s="61"/>
      <c r="O86" s="61" t="s">
        <v>1370</v>
      </c>
      <c r="P86" s="61"/>
      <c r="Q86" s="61"/>
      <c r="R86" s="61">
        <v>543625</v>
      </c>
      <c r="S86" s="66" t="s">
        <v>783</v>
      </c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 s="61" t="s">
        <v>856</v>
      </c>
      <c r="B87" s="62">
        <v>46098</v>
      </c>
      <c r="C87" s="63" t="s">
        <v>2914</v>
      </c>
      <c r="D87" s="67">
        <v>2688</v>
      </c>
      <c r="E87" s="67"/>
      <c r="F87" s="61" t="str">
        <f t="shared" si="1"/>
        <v>借</v>
      </c>
      <c r="G87" s="64">
        <f>SUM(D$6:E87)</f>
        <v>208982588</v>
      </c>
      <c r="H87" s="61"/>
      <c r="I87" s="61" t="s">
        <v>926</v>
      </c>
      <c r="J87" s="61" t="s">
        <v>114</v>
      </c>
      <c r="K87" s="64">
        <v>2688</v>
      </c>
      <c r="L87" s="61"/>
      <c r="M87" s="65" t="s">
        <v>224</v>
      </c>
      <c r="N87" s="61"/>
      <c r="O87" s="61" t="s">
        <v>1493</v>
      </c>
      <c r="P87" s="61"/>
      <c r="Q87" s="61"/>
      <c r="R87" s="61">
        <v>543625</v>
      </c>
      <c r="S87" s="66" t="s">
        <v>783</v>
      </c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 s="61" t="s">
        <v>856</v>
      </c>
      <c r="B88" s="62">
        <v>46098</v>
      </c>
      <c r="C88" s="63" t="s">
        <v>2915</v>
      </c>
      <c r="D88" s="67">
        <v>63440</v>
      </c>
      <c r="E88" s="67"/>
      <c r="F88" s="61" t="str">
        <f t="shared" si="1"/>
        <v>借</v>
      </c>
      <c r="G88" s="64">
        <f>SUM(D$6:E88)</f>
        <v>209046028</v>
      </c>
      <c r="H88" s="61"/>
      <c r="I88" s="61" t="s">
        <v>926</v>
      </c>
      <c r="J88" s="61" t="s">
        <v>114</v>
      </c>
      <c r="K88" s="64">
        <v>63440</v>
      </c>
      <c r="L88" s="61"/>
      <c r="M88" s="65" t="s">
        <v>224</v>
      </c>
      <c r="N88" s="61"/>
      <c r="O88" s="61" t="s">
        <v>1494</v>
      </c>
      <c r="P88" s="61"/>
      <c r="Q88" s="61"/>
      <c r="R88" s="61">
        <v>543625</v>
      </c>
      <c r="S88" s="66" t="s">
        <v>783</v>
      </c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 s="61" t="s">
        <v>856</v>
      </c>
      <c r="B89" s="62">
        <v>46098</v>
      </c>
      <c r="C89" s="63" t="s">
        <v>2916</v>
      </c>
      <c r="D89" s="67">
        <v>15120</v>
      </c>
      <c r="E89" s="67"/>
      <c r="F89" s="61" t="str">
        <f t="shared" si="1"/>
        <v>借</v>
      </c>
      <c r="G89" s="64">
        <f>SUM(D$6:E89)</f>
        <v>209061148</v>
      </c>
      <c r="H89" s="61"/>
      <c r="I89" s="61" t="s">
        <v>926</v>
      </c>
      <c r="J89" s="61" t="s">
        <v>114</v>
      </c>
      <c r="K89" s="64">
        <v>15120</v>
      </c>
      <c r="L89" s="61"/>
      <c r="M89" s="65" t="s">
        <v>224</v>
      </c>
      <c r="N89" s="61"/>
      <c r="O89" s="61" t="s">
        <v>1495</v>
      </c>
      <c r="P89" s="61"/>
      <c r="Q89" s="61"/>
      <c r="R89" s="61">
        <v>543625</v>
      </c>
      <c r="S89" s="66" t="s">
        <v>783</v>
      </c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 s="61" t="s">
        <v>856</v>
      </c>
      <c r="B90" s="62">
        <v>46099</v>
      </c>
      <c r="C90" s="63" t="s">
        <v>2917</v>
      </c>
      <c r="D90" s="67">
        <v>109800</v>
      </c>
      <c r="E90" s="67"/>
      <c r="F90" s="61" t="str">
        <f t="shared" si="1"/>
        <v>借</v>
      </c>
      <c r="G90" s="64">
        <f>SUM(D$6:E90)</f>
        <v>209170948</v>
      </c>
      <c r="H90" s="61"/>
      <c r="I90" s="61" t="s">
        <v>926</v>
      </c>
      <c r="J90" s="61" t="s">
        <v>114</v>
      </c>
      <c r="K90" s="64">
        <v>109800</v>
      </c>
      <c r="L90" s="61"/>
      <c r="M90" s="65" t="s">
        <v>224</v>
      </c>
      <c r="N90" s="61"/>
      <c r="O90" s="61" t="s">
        <v>2918</v>
      </c>
      <c r="P90" s="61"/>
      <c r="Q90" s="61"/>
      <c r="R90" s="61">
        <v>544283</v>
      </c>
      <c r="S90" s="66" t="s">
        <v>783</v>
      </c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 s="61" t="s">
        <v>856</v>
      </c>
      <c r="B91" s="62">
        <v>46099</v>
      </c>
      <c r="C91" s="63" t="s">
        <v>2919</v>
      </c>
      <c r="D91" s="67">
        <v>3400</v>
      </c>
      <c r="E91" s="67"/>
      <c r="F91" s="61" t="str">
        <f t="shared" si="1"/>
        <v>借</v>
      </c>
      <c r="G91" s="64">
        <f>SUM(D$6:E91)</f>
        <v>209174348</v>
      </c>
      <c r="H91" s="61"/>
      <c r="I91" s="61" t="s">
        <v>926</v>
      </c>
      <c r="J91" s="61" t="s">
        <v>114</v>
      </c>
      <c r="K91" s="64">
        <v>3400</v>
      </c>
      <c r="L91" s="61"/>
      <c r="M91" s="65" t="s">
        <v>224</v>
      </c>
      <c r="N91" s="61"/>
      <c r="O91" s="61" t="s">
        <v>2920</v>
      </c>
      <c r="P91" s="61"/>
      <c r="Q91" s="61"/>
      <c r="R91" s="61">
        <v>544283</v>
      </c>
      <c r="S91" s="66" t="s">
        <v>783</v>
      </c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 s="61" t="s">
        <v>856</v>
      </c>
      <c r="B92" s="62">
        <v>46099</v>
      </c>
      <c r="C92" s="63" t="s">
        <v>2921</v>
      </c>
      <c r="D92" s="67">
        <v>5038230</v>
      </c>
      <c r="E92" s="67"/>
      <c r="F92" s="61" t="str">
        <f t="shared" si="1"/>
        <v>借</v>
      </c>
      <c r="G92" s="64">
        <f>SUM(D$6:E92)</f>
        <v>214212578</v>
      </c>
      <c r="H92" s="61"/>
      <c r="I92" s="61" t="s">
        <v>926</v>
      </c>
      <c r="J92" s="61" t="s">
        <v>114</v>
      </c>
      <c r="K92" s="64">
        <v>5038230</v>
      </c>
      <c r="L92" s="61"/>
      <c r="M92" s="65" t="s">
        <v>224</v>
      </c>
      <c r="N92" s="61"/>
      <c r="O92" s="61">
        <v>712</v>
      </c>
      <c r="P92" s="61"/>
      <c r="Q92" s="61"/>
      <c r="R92" s="61">
        <v>544283</v>
      </c>
      <c r="S92" s="66" t="s">
        <v>783</v>
      </c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 s="61" t="s">
        <v>856</v>
      </c>
      <c r="B93" s="62">
        <v>46099</v>
      </c>
      <c r="C93" s="63" t="s">
        <v>2922</v>
      </c>
      <c r="D93" s="67">
        <v>2844930</v>
      </c>
      <c r="E93" s="67"/>
      <c r="F93" s="61" t="str">
        <f t="shared" si="1"/>
        <v>借</v>
      </c>
      <c r="G93" s="64">
        <f>SUM(D$6:E93)</f>
        <v>217057508</v>
      </c>
      <c r="H93" s="61"/>
      <c r="I93" s="61" t="s">
        <v>926</v>
      </c>
      <c r="J93" s="61" t="s">
        <v>114</v>
      </c>
      <c r="K93" s="64">
        <v>2844930</v>
      </c>
      <c r="L93" s="61"/>
      <c r="M93" s="65" t="s">
        <v>224</v>
      </c>
      <c r="N93" s="61"/>
      <c r="O93" s="61">
        <v>929</v>
      </c>
      <c r="P93" s="61"/>
      <c r="Q93" s="61"/>
      <c r="R93" s="61">
        <v>544283</v>
      </c>
      <c r="S93" s="66" t="s">
        <v>783</v>
      </c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 s="61" t="s">
        <v>856</v>
      </c>
      <c r="B94" s="62">
        <v>46099</v>
      </c>
      <c r="C94" s="63" t="s">
        <v>2923</v>
      </c>
      <c r="D94" s="67">
        <v>620000</v>
      </c>
      <c r="E94" s="67"/>
      <c r="F94" s="61" t="str">
        <f t="shared" si="1"/>
        <v>借</v>
      </c>
      <c r="G94" s="64">
        <f>SUM(D$6:E94)</f>
        <v>217677508</v>
      </c>
      <c r="H94" s="61"/>
      <c r="I94" s="61" t="s">
        <v>926</v>
      </c>
      <c r="J94" s="61" t="s">
        <v>114</v>
      </c>
      <c r="K94" s="64">
        <v>620000</v>
      </c>
      <c r="L94" s="61"/>
      <c r="M94" s="65" t="s">
        <v>224</v>
      </c>
      <c r="N94" s="61"/>
      <c r="O94" s="61">
        <v>1712</v>
      </c>
      <c r="P94" s="61"/>
      <c r="Q94" s="61"/>
      <c r="R94" s="61">
        <v>544283</v>
      </c>
      <c r="S94" s="66" t="s">
        <v>783</v>
      </c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 s="61" t="s">
        <v>856</v>
      </c>
      <c r="B95" s="62">
        <v>46100</v>
      </c>
      <c r="C95" s="63" t="s">
        <v>2924</v>
      </c>
      <c r="D95" s="67">
        <v>114920</v>
      </c>
      <c r="E95" s="67"/>
      <c r="F95" s="61" t="str">
        <f t="shared" si="1"/>
        <v>借</v>
      </c>
      <c r="G95" s="64">
        <f>SUM(D$6:E95)</f>
        <v>217792428</v>
      </c>
      <c r="H95" s="61"/>
      <c r="I95" s="61" t="s">
        <v>926</v>
      </c>
      <c r="J95" s="61" t="s">
        <v>114</v>
      </c>
      <c r="K95" s="64">
        <v>114920</v>
      </c>
      <c r="L95" s="61"/>
      <c r="M95" s="65" t="s">
        <v>224</v>
      </c>
      <c r="N95" s="61"/>
      <c r="O95" s="61">
        <v>728</v>
      </c>
      <c r="P95" s="61"/>
      <c r="Q95" s="61"/>
      <c r="R95" s="61">
        <v>545081</v>
      </c>
      <c r="S95" s="66" t="s">
        <v>783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 s="61" t="s">
        <v>856</v>
      </c>
      <c r="B96" s="62">
        <v>46100</v>
      </c>
      <c r="C96" s="63" t="s">
        <v>2925</v>
      </c>
      <c r="D96" s="67">
        <v>8086040</v>
      </c>
      <c r="E96" s="67"/>
      <c r="F96" s="61" t="str">
        <f t="shared" si="1"/>
        <v>借</v>
      </c>
      <c r="G96" s="64">
        <f>SUM(D$6:E96)</f>
        <v>225878468</v>
      </c>
      <c r="H96" s="61"/>
      <c r="I96" s="61" t="s">
        <v>926</v>
      </c>
      <c r="J96" s="61" t="s">
        <v>114</v>
      </c>
      <c r="K96" s="64">
        <v>8086040</v>
      </c>
      <c r="L96" s="61"/>
      <c r="M96" s="65" t="s">
        <v>224</v>
      </c>
      <c r="N96" s="61"/>
      <c r="O96" s="61">
        <v>918</v>
      </c>
      <c r="P96" s="61"/>
      <c r="Q96" s="61"/>
      <c r="R96" s="61">
        <v>545081</v>
      </c>
      <c r="S96" s="66" t="s">
        <v>783</v>
      </c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 s="61" t="s">
        <v>856</v>
      </c>
      <c r="B97" s="62">
        <v>46100</v>
      </c>
      <c r="C97" s="63" t="s">
        <v>2926</v>
      </c>
      <c r="D97" s="67">
        <v>525210</v>
      </c>
      <c r="E97" s="67"/>
      <c r="F97" s="61" t="str">
        <f t="shared" si="1"/>
        <v>借</v>
      </c>
      <c r="G97" s="64">
        <f>SUM(D$6:E97)</f>
        <v>226403678</v>
      </c>
      <c r="H97" s="61"/>
      <c r="I97" s="61" t="s">
        <v>926</v>
      </c>
      <c r="J97" s="61" t="s">
        <v>114</v>
      </c>
      <c r="K97" s="64">
        <v>525210</v>
      </c>
      <c r="L97" s="61"/>
      <c r="M97" s="65" t="s">
        <v>224</v>
      </c>
      <c r="N97" s="61"/>
      <c r="O97" s="61" t="s">
        <v>1496</v>
      </c>
      <c r="P97" s="61"/>
      <c r="Q97" s="61"/>
      <c r="R97" s="61">
        <v>545081</v>
      </c>
      <c r="S97" s="66" t="s">
        <v>783</v>
      </c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 s="61" t="s">
        <v>856</v>
      </c>
      <c r="B98" s="62">
        <v>46100</v>
      </c>
      <c r="C98" s="63" t="s">
        <v>2927</v>
      </c>
      <c r="D98" s="67">
        <v>5037000</v>
      </c>
      <c r="E98" s="67"/>
      <c r="F98" s="61" t="str">
        <f t="shared" si="1"/>
        <v>借</v>
      </c>
      <c r="G98" s="64">
        <f>SUM(D$6:E98)</f>
        <v>231440678</v>
      </c>
      <c r="H98" s="61"/>
      <c r="I98" s="61" t="s">
        <v>926</v>
      </c>
      <c r="J98" s="61" t="s">
        <v>114</v>
      </c>
      <c r="K98" s="64">
        <v>5037000</v>
      </c>
      <c r="L98" s="61"/>
      <c r="M98" s="65" t="s">
        <v>224</v>
      </c>
      <c r="N98" s="61"/>
      <c r="O98" s="61">
        <v>2301</v>
      </c>
      <c r="P98" s="61"/>
      <c r="Q98" s="61"/>
      <c r="R98" s="61">
        <v>545081</v>
      </c>
      <c r="S98" s="66" t="s">
        <v>783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 s="61" t="s">
        <v>856</v>
      </c>
      <c r="B99" s="62">
        <v>46100</v>
      </c>
      <c r="C99" s="63" t="s">
        <v>2928</v>
      </c>
      <c r="D99" s="67">
        <v>460000</v>
      </c>
      <c r="E99" s="67"/>
      <c r="F99" s="61" t="str">
        <f t="shared" si="1"/>
        <v>借</v>
      </c>
      <c r="G99" s="64">
        <f>SUM(D$6:E99)</f>
        <v>231900678</v>
      </c>
      <c r="H99" s="61"/>
      <c r="I99" s="61" t="s">
        <v>926</v>
      </c>
      <c r="J99" s="61" t="s">
        <v>114</v>
      </c>
      <c r="K99" s="64">
        <v>460000</v>
      </c>
      <c r="L99" s="61"/>
      <c r="M99" s="65" t="s">
        <v>224</v>
      </c>
      <c r="N99" s="61"/>
      <c r="O99" s="61">
        <v>2613</v>
      </c>
      <c r="P99" s="61"/>
      <c r="Q99" s="61"/>
      <c r="R99" s="61">
        <v>545081</v>
      </c>
      <c r="S99" s="66" t="s">
        <v>783</v>
      </c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 s="61" t="s">
        <v>856</v>
      </c>
      <c r="B100" s="62">
        <v>46100</v>
      </c>
      <c r="C100" s="63" t="s">
        <v>2929</v>
      </c>
      <c r="D100" s="67">
        <v>4472000</v>
      </c>
      <c r="E100" s="67"/>
      <c r="F100" s="61" t="str">
        <f t="shared" si="1"/>
        <v>借</v>
      </c>
      <c r="G100" s="64">
        <f>SUM(D$6:E100)</f>
        <v>236372678</v>
      </c>
      <c r="H100" s="61"/>
      <c r="I100" s="61" t="s">
        <v>926</v>
      </c>
      <c r="J100" s="61" t="s">
        <v>114</v>
      </c>
      <c r="K100" s="64">
        <v>4472000</v>
      </c>
      <c r="L100" s="61"/>
      <c r="M100" s="65" t="s">
        <v>224</v>
      </c>
      <c r="N100" s="61"/>
      <c r="O100" s="61">
        <v>3008</v>
      </c>
      <c r="P100" s="61"/>
      <c r="Q100" s="61"/>
      <c r="R100" s="61">
        <v>545081</v>
      </c>
      <c r="S100" s="66" t="s">
        <v>783</v>
      </c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 s="61" t="s">
        <v>856</v>
      </c>
      <c r="B101" s="62">
        <v>46100</v>
      </c>
      <c r="C101" s="63" t="s">
        <v>2930</v>
      </c>
      <c r="D101" s="67">
        <v>9245500</v>
      </c>
      <c r="E101" s="67"/>
      <c r="F101" s="61" t="str">
        <f t="shared" si="1"/>
        <v>借</v>
      </c>
      <c r="G101" s="64">
        <f>SUM(D$6:E101)</f>
        <v>245618178</v>
      </c>
      <c r="H101" s="61"/>
      <c r="I101" s="61" t="s">
        <v>926</v>
      </c>
      <c r="J101" s="61" t="s">
        <v>114</v>
      </c>
      <c r="K101" s="64">
        <v>9245500</v>
      </c>
      <c r="L101" s="61"/>
      <c r="M101" s="65" t="s">
        <v>224</v>
      </c>
      <c r="N101" s="61"/>
      <c r="O101" s="61">
        <v>3029</v>
      </c>
      <c r="P101" s="61"/>
      <c r="Q101" s="61"/>
      <c r="R101" s="61">
        <v>545081</v>
      </c>
      <c r="S101" s="66" t="s">
        <v>783</v>
      </c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 s="61" t="s">
        <v>856</v>
      </c>
      <c r="B102" s="62">
        <v>46100</v>
      </c>
      <c r="C102" s="63" t="s">
        <v>2931</v>
      </c>
      <c r="D102" s="67">
        <v>327600</v>
      </c>
      <c r="E102" s="67"/>
      <c r="F102" s="61" t="str">
        <f t="shared" si="1"/>
        <v>借</v>
      </c>
      <c r="G102" s="64">
        <f>SUM(D$6:E102)</f>
        <v>245945778</v>
      </c>
      <c r="H102" s="61"/>
      <c r="I102" s="61" t="s">
        <v>926</v>
      </c>
      <c r="J102" s="61" t="s">
        <v>114</v>
      </c>
      <c r="K102" s="64">
        <v>327600</v>
      </c>
      <c r="L102" s="61"/>
      <c r="M102" s="65" t="s">
        <v>224</v>
      </c>
      <c r="N102" s="61"/>
      <c r="O102" s="61">
        <v>3038</v>
      </c>
      <c r="P102" s="61"/>
      <c r="Q102" s="61"/>
      <c r="R102" s="61">
        <v>545081</v>
      </c>
      <c r="S102" s="66" t="s">
        <v>783</v>
      </c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 s="61" t="s">
        <v>856</v>
      </c>
      <c r="B103" s="62">
        <v>46100</v>
      </c>
      <c r="C103" s="63" t="s">
        <v>2932</v>
      </c>
      <c r="D103" s="67">
        <v>84000</v>
      </c>
      <c r="E103" s="67"/>
      <c r="F103" s="61" t="str">
        <f t="shared" si="1"/>
        <v>借</v>
      </c>
      <c r="G103" s="64">
        <f>SUM(D$6:E103)</f>
        <v>246029778</v>
      </c>
      <c r="H103" s="61"/>
      <c r="I103" s="61" t="s">
        <v>926</v>
      </c>
      <c r="J103" s="61" t="s">
        <v>114</v>
      </c>
      <c r="K103" s="64">
        <v>84000</v>
      </c>
      <c r="L103" s="61"/>
      <c r="M103" s="65" t="s">
        <v>224</v>
      </c>
      <c r="N103" s="61"/>
      <c r="O103" s="61">
        <v>4440</v>
      </c>
      <c r="P103" s="61"/>
      <c r="Q103" s="61"/>
      <c r="R103" s="61">
        <v>545081</v>
      </c>
      <c r="S103" s="66" t="s">
        <v>783</v>
      </c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 s="61" t="s">
        <v>856</v>
      </c>
      <c r="B104" s="62">
        <v>46100</v>
      </c>
      <c r="C104" s="63" t="s">
        <v>2933</v>
      </c>
      <c r="D104" s="67">
        <v>59976</v>
      </c>
      <c r="E104" s="67"/>
      <c r="F104" s="61" t="str">
        <f t="shared" si="1"/>
        <v>借</v>
      </c>
      <c r="G104" s="64">
        <f>SUM(D$6:E104)</f>
        <v>246089754</v>
      </c>
      <c r="H104" s="61"/>
      <c r="I104" s="61" t="s">
        <v>926</v>
      </c>
      <c r="J104" s="61" t="s">
        <v>114</v>
      </c>
      <c r="K104" s="64">
        <v>59976</v>
      </c>
      <c r="L104" s="61"/>
      <c r="M104" s="65" t="s">
        <v>224</v>
      </c>
      <c r="N104" s="61"/>
      <c r="O104" s="61">
        <v>5306</v>
      </c>
      <c r="P104" s="61"/>
      <c r="Q104" s="61"/>
      <c r="R104" s="61">
        <v>545081</v>
      </c>
      <c r="S104" s="66" t="s">
        <v>783</v>
      </c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 s="61" t="s">
        <v>856</v>
      </c>
      <c r="B105" s="62">
        <v>46100</v>
      </c>
      <c r="C105" s="63" t="s">
        <v>2934</v>
      </c>
      <c r="D105" s="67">
        <v>119000</v>
      </c>
      <c r="E105" s="67"/>
      <c r="F105" s="61" t="str">
        <f t="shared" si="1"/>
        <v>借</v>
      </c>
      <c r="G105" s="64">
        <f>SUM(D$6:E105)</f>
        <v>246208754</v>
      </c>
      <c r="H105" s="61"/>
      <c r="I105" s="61" t="s">
        <v>926</v>
      </c>
      <c r="J105" s="61" t="s">
        <v>114</v>
      </c>
      <c r="K105" s="64">
        <v>119000</v>
      </c>
      <c r="L105" s="61"/>
      <c r="M105" s="65" t="s">
        <v>224</v>
      </c>
      <c r="N105" s="61"/>
      <c r="O105" s="61">
        <v>6720</v>
      </c>
      <c r="P105" s="61"/>
      <c r="Q105" s="61"/>
      <c r="R105" s="61">
        <v>545081</v>
      </c>
      <c r="S105" s="66" t="s">
        <v>783</v>
      </c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 s="61" t="s">
        <v>856</v>
      </c>
      <c r="B106" s="62">
        <v>46100</v>
      </c>
      <c r="C106" s="63" t="s">
        <v>2935</v>
      </c>
      <c r="D106" s="67">
        <v>2370519</v>
      </c>
      <c r="E106" s="67"/>
      <c r="F106" s="61" t="str">
        <f t="shared" si="1"/>
        <v>借</v>
      </c>
      <c r="G106" s="64">
        <f>SUM(D$6:E106)</f>
        <v>248579273</v>
      </c>
      <c r="H106" s="61"/>
      <c r="I106" s="61" t="s">
        <v>926</v>
      </c>
      <c r="J106" s="61" t="s">
        <v>114</v>
      </c>
      <c r="K106" s="64">
        <v>2370519</v>
      </c>
      <c r="L106" s="61"/>
      <c r="M106" s="65" t="s">
        <v>224</v>
      </c>
      <c r="N106" s="61"/>
      <c r="O106" s="61">
        <v>9105</v>
      </c>
      <c r="P106" s="61"/>
      <c r="Q106" s="61"/>
      <c r="R106" s="61">
        <v>545081</v>
      </c>
      <c r="S106" s="66" t="s">
        <v>783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 s="61" t="s">
        <v>856</v>
      </c>
      <c r="B107" s="62">
        <v>46101</v>
      </c>
      <c r="C107" s="63" t="s">
        <v>2936</v>
      </c>
      <c r="D107" s="67">
        <v>2694900</v>
      </c>
      <c r="E107" s="67"/>
      <c r="F107" s="61" t="str">
        <f t="shared" si="1"/>
        <v>借</v>
      </c>
      <c r="G107" s="64">
        <f>SUM(D$6:E107)</f>
        <v>251274173</v>
      </c>
      <c r="H107" s="61"/>
      <c r="I107" s="61" t="s">
        <v>926</v>
      </c>
      <c r="J107" s="61" t="s">
        <v>114</v>
      </c>
      <c r="K107" s="64">
        <v>2694900</v>
      </c>
      <c r="L107" s="61"/>
      <c r="M107" s="65" t="s">
        <v>224</v>
      </c>
      <c r="N107" s="61"/>
      <c r="O107" s="61">
        <v>713</v>
      </c>
      <c r="P107" s="61"/>
      <c r="Q107" s="61"/>
      <c r="R107" s="61">
        <v>545082</v>
      </c>
      <c r="S107" s="66" t="s">
        <v>783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 s="61" t="s">
        <v>856</v>
      </c>
      <c r="B108" s="62">
        <v>46101</v>
      </c>
      <c r="C108" s="63" t="s">
        <v>2937</v>
      </c>
      <c r="D108" s="67">
        <v>9360300</v>
      </c>
      <c r="E108" s="67"/>
      <c r="F108" s="61" t="str">
        <f t="shared" si="1"/>
        <v>借</v>
      </c>
      <c r="G108" s="64">
        <f>SUM(D$6:E108)</f>
        <v>260634473</v>
      </c>
      <c r="H108" s="61"/>
      <c r="I108" s="61" t="s">
        <v>926</v>
      </c>
      <c r="J108" s="61" t="s">
        <v>114</v>
      </c>
      <c r="K108" s="64">
        <v>9360300</v>
      </c>
      <c r="L108" s="61"/>
      <c r="M108" s="65" t="s">
        <v>224</v>
      </c>
      <c r="N108" s="61"/>
      <c r="O108" s="61" t="s">
        <v>2938</v>
      </c>
      <c r="P108" s="61"/>
      <c r="Q108" s="61"/>
      <c r="R108" s="61">
        <v>545082</v>
      </c>
      <c r="S108" s="66" t="s">
        <v>783</v>
      </c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 s="61" t="s">
        <v>856</v>
      </c>
      <c r="B109" s="62">
        <v>46101</v>
      </c>
      <c r="C109" s="63" t="s">
        <v>2939</v>
      </c>
      <c r="D109" s="67">
        <v>1767300</v>
      </c>
      <c r="E109" s="67"/>
      <c r="F109" s="61" t="str">
        <f t="shared" si="1"/>
        <v>借</v>
      </c>
      <c r="G109" s="64">
        <f>SUM(D$6:E109)</f>
        <v>262401773</v>
      </c>
      <c r="H109" s="61"/>
      <c r="I109" s="61" t="s">
        <v>926</v>
      </c>
      <c r="J109" s="61" t="s">
        <v>114</v>
      </c>
      <c r="K109" s="64">
        <v>1767300</v>
      </c>
      <c r="L109" s="61"/>
      <c r="M109" s="65" t="s">
        <v>224</v>
      </c>
      <c r="N109" s="61"/>
      <c r="O109" s="61">
        <v>2006</v>
      </c>
      <c r="P109" s="61"/>
      <c r="Q109" s="61"/>
      <c r="R109" s="61">
        <v>545082</v>
      </c>
      <c r="S109" s="66" t="s">
        <v>783</v>
      </c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 s="61" t="s">
        <v>856</v>
      </c>
      <c r="B110" s="62">
        <v>46101</v>
      </c>
      <c r="C110" s="63" t="s">
        <v>2940</v>
      </c>
      <c r="D110" s="67">
        <v>508500</v>
      </c>
      <c r="E110" s="67"/>
      <c r="F110" s="61" t="str">
        <f t="shared" si="1"/>
        <v>借</v>
      </c>
      <c r="G110" s="64">
        <f>SUM(D$6:E110)</f>
        <v>262910273</v>
      </c>
      <c r="H110" s="61"/>
      <c r="I110" s="61" t="s">
        <v>926</v>
      </c>
      <c r="J110" s="61" t="s">
        <v>114</v>
      </c>
      <c r="K110" s="64">
        <v>508500</v>
      </c>
      <c r="L110" s="61"/>
      <c r="M110" s="65" t="s">
        <v>224</v>
      </c>
      <c r="N110" s="61"/>
      <c r="O110" s="61">
        <v>2630</v>
      </c>
      <c r="P110" s="61"/>
      <c r="Q110" s="61"/>
      <c r="R110" s="61">
        <v>545082</v>
      </c>
      <c r="S110" s="66" t="s">
        <v>783</v>
      </c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 s="61" t="s">
        <v>856</v>
      </c>
      <c r="B111" s="62">
        <v>46101</v>
      </c>
      <c r="C111" s="63" t="s">
        <v>2941</v>
      </c>
      <c r="D111" s="67">
        <v>20451000</v>
      </c>
      <c r="E111" s="67"/>
      <c r="F111" s="61" t="str">
        <f t="shared" si="1"/>
        <v>借</v>
      </c>
      <c r="G111" s="64">
        <f>SUM(D$6:E111)</f>
        <v>283361273</v>
      </c>
      <c r="H111" s="61"/>
      <c r="I111" s="61" t="s">
        <v>926</v>
      </c>
      <c r="J111" s="61" t="s">
        <v>114</v>
      </c>
      <c r="K111" s="64">
        <v>20451000</v>
      </c>
      <c r="L111" s="61"/>
      <c r="M111" s="65" t="s">
        <v>224</v>
      </c>
      <c r="N111" s="61"/>
      <c r="O111" s="61">
        <v>3260</v>
      </c>
      <c r="P111" s="61"/>
      <c r="Q111" s="61"/>
      <c r="R111" s="61">
        <v>545082</v>
      </c>
      <c r="S111" s="66" t="s">
        <v>783</v>
      </c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 s="61" t="s">
        <v>856</v>
      </c>
      <c r="B112" s="62">
        <v>46101</v>
      </c>
      <c r="C112" s="63" t="s">
        <v>2942</v>
      </c>
      <c r="D112" s="67">
        <v>598000</v>
      </c>
      <c r="E112" s="67"/>
      <c r="F112" s="61" t="str">
        <f t="shared" si="1"/>
        <v>借</v>
      </c>
      <c r="G112" s="64">
        <f>SUM(D$6:E112)</f>
        <v>283959273</v>
      </c>
      <c r="H112" s="61"/>
      <c r="I112" s="61" t="s">
        <v>926</v>
      </c>
      <c r="J112" s="61" t="s">
        <v>114</v>
      </c>
      <c r="K112" s="64">
        <v>598000</v>
      </c>
      <c r="L112" s="61"/>
      <c r="M112" s="65" t="s">
        <v>224</v>
      </c>
      <c r="N112" s="61"/>
      <c r="O112" s="61">
        <v>5234</v>
      </c>
      <c r="P112" s="61"/>
      <c r="Q112" s="61"/>
      <c r="R112" s="61">
        <v>545082</v>
      </c>
      <c r="S112" s="66" t="s">
        <v>783</v>
      </c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 s="61" t="s">
        <v>856</v>
      </c>
      <c r="B113" s="62">
        <v>46101</v>
      </c>
      <c r="C113" s="63" t="s">
        <v>2943</v>
      </c>
      <c r="D113" s="67">
        <v>1010400</v>
      </c>
      <c r="E113" s="67"/>
      <c r="F113" s="61" t="str">
        <f t="shared" si="1"/>
        <v>借</v>
      </c>
      <c r="G113" s="64">
        <f>SUM(D$6:E113)</f>
        <v>284969673</v>
      </c>
      <c r="H113" s="61"/>
      <c r="I113" s="61" t="s">
        <v>926</v>
      </c>
      <c r="J113" s="61" t="s">
        <v>114</v>
      </c>
      <c r="K113" s="64">
        <v>1010400</v>
      </c>
      <c r="L113" s="61"/>
      <c r="M113" s="65" t="s">
        <v>224</v>
      </c>
      <c r="N113" s="61"/>
      <c r="O113" s="61">
        <v>6235</v>
      </c>
      <c r="P113" s="61"/>
      <c r="Q113" s="61"/>
      <c r="R113" s="61">
        <v>545082</v>
      </c>
      <c r="S113" s="66" t="s">
        <v>783</v>
      </c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 s="61" t="s">
        <v>856</v>
      </c>
      <c r="B114" s="62">
        <v>46101</v>
      </c>
      <c r="C114" s="63" t="s">
        <v>2944</v>
      </c>
      <c r="D114" s="67">
        <v>209704</v>
      </c>
      <c r="E114" s="67"/>
      <c r="F114" s="61" t="str">
        <f t="shared" si="1"/>
        <v>借</v>
      </c>
      <c r="G114" s="64">
        <f>SUM(D$6:E114)</f>
        <v>285179377</v>
      </c>
      <c r="H114" s="61"/>
      <c r="I114" s="61" t="s">
        <v>926</v>
      </c>
      <c r="J114" s="61" t="s">
        <v>114</v>
      </c>
      <c r="K114" s="64">
        <v>209704</v>
      </c>
      <c r="L114" s="61"/>
      <c r="M114" s="65" t="s">
        <v>224</v>
      </c>
      <c r="N114" s="61"/>
      <c r="O114" s="61">
        <v>6548</v>
      </c>
      <c r="P114" s="61"/>
      <c r="Q114" s="61"/>
      <c r="R114" s="61">
        <v>545082</v>
      </c>
      <c r="S114" s="66" t="s">
        <v>783</v>
      </c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 s="61" t="s">
        <v>856</v>
      </c>
      <c r="B115" s="62">
        <v>46104</v>
      </c>
      <c r="C115" s="63" t="s">
        <v>2945</v>
      </c>
      <c r="D115" s="67">
        <v>7500</v>
      </c>
      <c r="E115" s="67"/>
      <c r="F115" s="61" t="str">
        <f t="shared" si="1"/>
        <v>借</v>
      </c>
      <c r="G115" s="64">
        <f>SUM(D$6:E115)</f>
        <v>285186877</v>
      </c>
      <c r="H115" s="61"/>
      <c r="I115" s="61" t="s">
        <v>926</v>
      </c>
      <c r="J115" s="61" t="s">
        <v>114</v>
      </c>
      <c r="K115" s="64">
        <v>7500</v>
      </c>
      <c r="L115" s="61"/>
      <c r="M115" s="65" t="s">
        <v>224</v>
      </c>
      <c r="N115" s="61"/>
      <c r="O115" s="61" t="s">
        <v>2946</v>
      </c>
      <c r="P115" s="61"/>
      <c r="Q115" s="61"/>
      <c r="R115" s="61">
        <v>545085</v>
      </c>
      <c r="S115" s="66" t="s">
        <v>783</v>
      </c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 s="61" t="s">
        <v>856</v>
      </c>
      <c r="B116" s="62">
        <v>46104</v>
      </c>
      <c r="C116" s="63" t="s">
        <v>2947</v>
      </c>
      <c r="D116" s="67">
        <v>126500</v>
      </c>
      <c r="E116" s="67"/>
      <c r="F116" s="61" t="str">
        <f t="shared" si="1"/>
        <v>借</v>
      </c>
      <c r="G116" s="64">
        <f>SUM(D$6:E116)</f>
        <v>285313377</v>
      </c>
      <c r="H116" s="61"/>
      <c r="I116" s="61" t="s">
        <v>926</v>
      </c>
      <c r="J116" s="61" t="s">
        <v>114</v>
      </c>
      <c r="K116" s="64">
        <v>126500</v>
      </c>
      <c r="L116" s="61"/>
      <c r="M116" s="65" t="s">
        <v>224</v>
      </c>
      <c r="N116" s="61"/>
      <c r="O116" s="61" t="s">
        <v>2948</v>
      </c>
      <c r="P116" s="61"/>
      <c r="Q116" s="61"/>
      <c r="R116" s="61">
        <v>545085</v>
      </c>
      <c r="S116" s="66" t="s">
        <v>783</v>
      </c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 s="61" t="s">
        <v>856</v>
      </c>
      <c r="B117" s="62">
        <v>46104</v>
      </c>
      <c r="C117" s="63" t="s">
        <v>2949</v>
      </c>
      <c r="D117" s="67">
        <v>320100</v>
      </c>
      <c r="E117" s="67"/>
      <c r="F117" s="61" t="str">
        <f t="shared" si="1"/>
        <v>借</v>
      </c>
      <c r="G117" s="64">
        <f>SUM(D$6:E117)</f>
        <v>285633477</v>
      </c>
      <c r="H117" s="61"/>
      <c r="I117" s="61" t="s">
        <v>926</v>
      </c>
      <c r="J117" s="61" t="s">
        <v>114</v>
      </c>
      <c r="K117" s="64">
        <v>320100</v>
      </c>
      <c r="L117" s="61"/>
      <c r="M117" s="65" t="s">
        <v>224</v>
      </c>
      <c r="N117" s="61"/>
      <c r="O117" s="61">
        <v>930</v>
      </c>
      <c r="P117" s="61"/>
      <c r="Q117" s="61"/>
      <c r="R117" s="61">
        <v>545085</v>
      </c>
      <c r="S117" s="66" t="s">
        <v>783</v>
      </c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 s="61" t="s">
        <v>856</v>
      </c>
      <c r="B118" s="62">
        <v>46104</v>
      </c>
      <c r="C118" s="63" t="s">
        <v>2950</v>
      </c>
      <c r="D118" s="67">
        <v>21164</v>
      </c>
      <c r="E118" s="67"/>
      <c r="F118" s="61" t="str">
        <f t="shared" si="1"/>
        <v>借</v>
      </c>
      <c r="G118" s="64">
        <f>SUM(D$6:E118)</f>
        <v>285654641</v>
      </c>
      <c r="H118" s="61"/>
      <c r="I118" s="61" t="s">
        <v>926</v>
      </c>
      <c r="J118" s="61" t="s">
        <v>114</v>
      </c>
      <c r="K118" s="64">
        <v>21164</v>
      </c>
      <c r="L118" s="61"/>
      <c r="M118" s="65" t="s">
        <v>224</v>
      </c>
      <c r="N118" s="61"/>
      <c r="O118" s="61" t="s">
        <v>1492</v>
      </c>
      <c r="P118" s="61"/>
      <c r="Q118" s="61"/>
      <c r="R118" s="61">
        <v>545085</v>
      </c>
      <c r="S118" s="66" t="s">
        <v>783</v>
      </c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 s="61" t="s">
        <v>856</v>
      </c>
      <c r="B119" s="62">
        <v>46104</v>
      </c>
      <c r="C119" s="63" t="s">
        <v>2951</v>
      </c>
      <c r="D119" s="67">
        <v>84000</v>
      </c>
      <c r="E119" s="67"/>
      <c r="F119" s="61" t="str">
        <f t="shared" si="1"/>
        <v>借</v>
      </c>
      <c r="G119" s="64">
        <f>SUM(D$6:E119)</f>
        <v>285738641</v>
      </c>
      <c r="H119" s="61"/>
      <c r="I119" s="61" t="s">
        <v>926</v>
      </c>
      <c r="J119" s="61" t="s">
        <v>114</v>
      </c>
      <c r="K119" s="64">
        <v>84000</v>
      </c>
      <c r="L119" s="61"/>
      <c r="M119" s="65" t="s">
        <v>224</v>
      </c>
      <c r="N119" s="61"/>
      <c r="O119" s="61">
        <v>4163</v>
      </c>
      <c r="P119" s="61"/>
      <c r="Q119" s="61"/>
      <c r="R119" s="61">
        <v>545085</v>
      </c>
      <c r="S119" s="66" t="s">
        <v>783</v>
      </c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 s="61" t="s">
        <v>856</v>
      </c>
      <c r="B120" s="62">
        <v>46105</v>
      </c>
      <c r="C120" s="63" t="s">
        <v>2952</v>
      </c>
      <c r="D120" s="67">
        <v>142500</v>
      </c>
      <c r="E120" s="67"/>
      <c r="F120" s="61" t="str">
        <f t="shared" si="1"/>
        <v>借</v>
      </c>
      <c r="G120" s="64">
        <f>SUM(D$6:E120)</f>
        <v>285881141</v>
      </c>
      <c r="H120" s="61"/>
      <c r="I120" s="61" t="s">
        <v>926</v>
      </c>
      <c r="J120" s="61" t="s">
        <v>114</v>
      </c>
      <c r="K120" s="64">
        <v>142500</v>
      </c>
      <c r="L120" s="61"/>
      <c r="M120" s="65" t="s">
        <v>224</v>
      </c>
      <c r="N120" s="61"/>
      <c r="O120" s="61">
        <v>5478</v>
      </c>
      <c r="P120" s="61"/>
      <c r="Q120" s="61"/>
      <c r="R120" s="61">
        <v>545490</v>
      </c>
      <c r="S120" s="66" t="s">
        <v>783</v>
      </c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 s="61" t="s">
        <v>856</v>
      </c>
      <c r="B121" s="62">
        <v>46106</v>
      </c>
      <c r="C121" s="63" t="s">
        <v>2953</v>
      </c>
      <c r="D121" s="67">
        <v>15974645</v>
      </c>
      <c r="E121" s="67"/>
      <c r="F121" s="61" t="str">
        <f t="shared" si="1"/>
        <v>借</v>
      </c>
      <c r="G121" s="64">
        <f>SUM(D$6:E121)</f>
        <v>301855786</v>
      </c>
      <c r="H121" s="61"/>
      <c r="I121" s="61" t="s">
        <v>926</v>
      </c>
      <c r="J121" s="61" t="s">
        <v>114</v>
      </c>
      <c r="K121" s="64">
        <v>15974645</v>
      </c>
      <c r="L121" s="61"/>
      <c r="M121" s="65" t="s">
        <v>224</v>
      </c>
      <c r="N121" s="61"/>
      <c r="O121" s="61">
        <v>3005</v>
      </c>
      <c r="P121" s="61"/>
      <c r="Q121" s="61"/>
      <c r="R121" s="61">
        <v>545492</v>
      </c>
      <c r="S121" s="66" t="s">
        <v>783</v>
      </c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 s="61" t="s">
        <v>856</v>
      </c>
      <c r="B122" s="62">
        <v>46106</v>
      </c>
      <c r="C122" s="63" t="s">
        <v>2954</v>
      </c>
      <c r="D122" s="67">
        <v>637000</v>
      </c>
      <c r="E122" s="67"/>
      <c r="F122" s="61" t="str">
        <f t="shared" si="1"/>
        <v>借</v>
      </c>
      <c r="G122" s="64">
        <f>SUM(D$6:E122)</f>
        <v>302492786</v>
      </c>
      <c r="H122" s="61"/>
      <c r="I122" s="61" t="s">
        <v>926</v>
      </c>
      <c r="J122" s="61" t="s">
        <v>114</v>
      </c>
      <c r="K122" s="64">
        <v>637000</v>
      </c>
      <c r="L122" s="61"/>
      <c r="M122" s="65" t="s">
        <v>224</v>
      </c>
      <c r="N122" s="61"/>
      <c r="O122" s="61">
        <v>4949</v>
      </c>
      <c r="P122" s="61"/>
      <c r="Q122" s="61"/>
      <c r="R122" s="61">
        <v>545492</v>
      </c>
      <c r="S122" s="66" t="s">
        <v>783</v>
      </c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 s="61" t="s">
        <v>856</v>
      </c>
      <c r="B123" s="62">
        <v>46106</v>
      </c>
      <c r="C123" s="63" t="s">
        <v>2955</v>
      </c>
      <c r="D123" s="67">
        <v>165000</v>
      </c>
      <c r="E123" s="67"/>
      <c r="F123" s="61" t="str">
        <f t="shared" si="1"/>
        <v>借</v>
      </c>
      <c r="G123" s="64">
        <f>SUM(D$6:E123)</f>
        <v>302657786</v>
      </c>
      <c r="H123" s="61"/>
      <c r="I123" s="61" t="s">
        <v>926</v>
      </c>
      <c r="J123" s="61" t="s">
        <v>114</v>
      </c>
      <c r="K123" s="64">
        <v>165000</v>
      </c>
      <c r="L123" s="61"/>
      <c r="M123" s="65" t="s">
        <v>224</v>
      </c>
      <c r="N123" s="61"/>
      <c r="O123" s="61">
        <v>6281</v>
      </c>
      <c r="P123" s="61"/>
      <c r="Q123" s="61"/>
      <c r="R123" s="61">
        <v>545492</v>
      </c>
      <c r="S123" s="66" t="s">
        <v>783</v>
      </c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 s="61" t="s">
        <v>856</v>
      </c>
      <c r="B124" s="62">
        <v>46106</v>
      </c>
      <c r="C124" s="63" t="s">
        <v>2956</v>
      </c>
      <c r="D124" s="67">
        <v>204000</v>
      </c>
      <c r="E124" s="67"/>
      <c r="F124" s="61" t="str">
        <f t="shared" si="1"/>
        <v>借</v>
      </c>
      <c r="G124" s="64">
        <f>SUM(D$6:E124)</f>
        <v>302861786</v>
      </c>
      <c r="H124" s="61"/>
      <c r="I124" s="61" t="s">
        <v>926</v>
      </c>
      <c r="J124" s="61" t="s">
        <v>114</v>
      </c>
      <c r="K124" s="64">
        <v>204000</v>
      </c>
      <c r="L124" s="61"/>
      <c r="M124" s="65" t="s">
        <v>224</v>
      </c>
      <c r="N124" s="61"/>
      <c r="O124" s="61">
        <v>6894</v>
      </c>
      <c r="P124" s="61"/>
      <c r="Q124" s="61"/>
      <c r="R124" s="61">
        <v>545492</v>
      </c>
      <c r="S124" s="66" t="s">
        <v>783</v>
      </c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 s="61" t="s">
        <v>856</v>
      </c>
      <c r="B125" s="62">
        <v>46106</v>
      </c>
      <c r="C125" s="63" t="s">
        <v>2957</v>
      </c>
      <c r="D125" s="67">
        <v>448000</v>
      </c>
      <c r="E125" s="67"/>
      <c r="F125" s="61" t="str">
        <f t="shared" si="1"/>
        <v>借</v>
      </c>
      <c r="G125" s="64">
        <f>SUM(D$6:E125)</f>
        <v>303309786</v>
      </c>
      <c r="H125" s="61"/>
      <c r="I125" s="61" t="s">
        <v>926</v>
      </c>
      <c r="J125" s="61" t="s">
        <v>114</v>
      </c>
      <c r="K125" s="64">
        <v>448000</v>
      </c>
      <c r="L125" s="61"/>
      <c r="M125" s="65" t="s">
        <v>224</v>
      </c>
      <c r="N125" s="61"/>
      <c r="O125" s="61">
        <v>8464</v>
      </c>
      <c r="P125" s="61"/>
      <c r="Q125" s="61"/>
      <c r="R125" s="61">
        <v>545492</v>
      </c>
      <c r="S125" s="66" t="s">
        <v>783</v>
      </c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 s="61" t="s">
        <v>856</v>
      </c>
      <c r="B126" s="62">
        <v>46107</v>
      </c>
      <c r="C126" s="63" t="s">
        <v>2958</v>
      </c>
      <c r="D126" s="67">
        <v>2268000</v>
      </c>
      <c r="E126" s="67"/>
      <c r="F126" s="61" t="str">
        <f t="shared" si="1"/>
        <v>借</v>
      </c>
      <c r="G126" s="64">
        <f>SUM(D$6:E126)</f>
        <v>305577786</v>
      </c>
      <c r="H126" s="61"/>
      <c r="I126" s="61" t="s">
        <v>926</v>
      </c>
      <c r="J126" s="61" t="s">
        <v>114</v>
      </c>
      <c r="K126" s="64">
        <v>2268000</v>
      </c>
      <c r="L126" s="61"/>
      <c r="M126" s="65" t="s">
        <v>224</v>
      </c>
      <c r="N126" s="61"/>
      <c r="O126" s="61">
        <v>1477</v>
      </c>
      <c r="P126" s="61"/>
      <c r="Q126" s="61"/>
      <c r="R126" s="61">
        <v>546399</v>
      </c>
      <c r="S126" s="66" t="s">
        <v>783</v>
      </c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 s="61" t="s">
        <v>856</v>
      </c>
      <c r="B127" s="62">
        <v>46107</v>
      </c>
      <c r="C127" s="63" t="s">
        <v>2959</v>
      </c>
      <c r="D127" s="67">
        <v>274400</v>
      </c>
      <c r="E127" s="67"/>
      <c r="F127" s="61" t="str">
        <f t="shared" si="1"/>
        <v>借</v>
      </c>
      <c r="G127" s="64">
        <f>SUM(D$6:E127)</f>
        <v>305852186</v>
      </c>
      <c r="H127" s="61"/>
      <c r="I127" s="61" t="s">
        <v>926</v>
      </c>
      <c r="J127" s="61" t="s">
        <v>114</v>
      </c>
      <c r="K127" s="64">
        <v>274400</v>
      </c>
      <c r="L127" s="61"/>
      <c r="M127" s="65" t="s">
        <v>224</v>
      </c>
      <c r="N127" s="61"/>
      <c r="O127" s="61">
        <v>1611</v>
      </c>
      <c r="P127" s="61"/>
      <c r="Q127" s="61"/>
      <c r="R127" s="61">
        <v>546399</v>
      </c>
      <c r="S127" s="66" t="s">
        <v>783</v>
      </c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 s="61" t="s">
        <v>856</v>
      </c>
      <c r="B128" s="62">
        <v>46107</v>
      </c>
      <c r="C128" s="63" t="s">
        <v>2960</v>
      </c>
      <c r="D128" s="67">
        <v>207900</v>
      </c>
      <c r="E128" s="67"/>
      <c r="F128" s="61" t="str">
        <f t="shared" si="1"/>
        <v>借</v>
      </c>
      <c r="G128" s="64">
        <f>SUM(D$6:E128)</f>
        <v>306060086</v>
      </c>
      <c r="H128" s="61"/>
      <c r="I128" s="61" t="s">
        <v>926</v>
      </c>
      <c r="J128" s="61" t="s">
        <v>114</v>
      </c>
      <c r="K128" s="64">
        <v>207900</v>
      </c>
      <c r="L128" s="61"/>
      <c r="M128" s="65" t="s">
        <v>224</v>
      </c>
      <c r="N128" s="61"/>
      <c r="O128" s="61">
        <v>2015</v>
      </c>
      <c r="P128" s="61"/>
      <c r="Q128" s="61"/>
      <c r="R128" s="61">
        <v>546399</v>
      </c>
      <c r="S128" s="66" t="s">
        <v>783</v>
      </c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 s="61" t="s">
        <v>856</v>
      </c>
      <c r="B129" s="62">
        <v>46107</v>
      </c>
      <c r="C129" s="63" t="s">
        <v>2961</v>
      </c>
      <c r="D129" s="67">
        <v>456400</v>
      </c>
      <c r="E129" s="67"/>
      <c r="F129" s="61" t="str">
        <f t="shared" si="1"/>
        <v>借</v>
      </c>
      <c r="G129" s="64">
        <f>SUM(D$6:E129)</f>
        <v>306516486</v>
      </c>
      <c r="H129" s="61"/>
      <c r="I129" s="61" t="s">
        <v>926</v>
      </c>
      <c r="J129" s="61" t="s">
        <v>114</v>
      </c>
      <c r="K129" s="64">
        <v>456400</v>
      </c>
      <c r="L129" s="61"/>
      <c r="M129" s="65" t="s">
        <v>224</v>
      </c>
      <c r="N129" s="61"/>
      <c r="O129" s="61">
        <v>2101</v>
      </c>
      <c r="P129" s="61"/>
      <c r="Q129" s="61"/>
      <c r="R129" s="61">
        <v>546399</v>
      </c>
      <c r="S129" s="66" t="s">
        <v>783</v>
      </c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 s="61" t="s">
        <v>856</v>
      </c>
      <c r="B130" s="62">
        <v>46107</v>
      </c>
      <c r="C130" s="63" t="s">
        <v>2962</v>
      </c>
      <c r="D130" s="67">
        <v>7500</v>
      </c>
      <c r="E130" s="67"/>
      <c r="F130" s="61" t="str">
        <f t="shared" si="1"/>
        <v>借</v>
      </c>
      <c r="G130" s="64">
        <f>SUM(D$6:E130)</f>
        <v>306523986</v>
      </c>
      <c r="H130" s="61"/>
      <c r="I130" s="61" t="s">
        <v>926</v>
      </c>
      <c r="J130" s="61" t="s">
        <v>114</v>
      </c>
      <c r="K130" s="64">
        <v>7500</v>
      </c>
      <c r="L130" s="61"/>
      <c r="M130" s="65" t="s">
        <v>224</v>
      </c>
      <c r="N130" s="61"/>
      <c r="O130" s="61">
        <v>2109</v>
      </c>
      <c r="P130" s="61"/>
      <c r="Q130" s="61"/>
      <c r="R130" s="61">
        <v>546399</v>
      </c>
      <c r="S130" s="66" t="s">
        <v>783</v>
      </c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 s="61" t="s">
        <v>856</v>
      </c>
      <c r="B131" s="62">
        <v>46107</v>
      </c>
      <c r="C131" s="63" t="s">
        <v>2963</v>
      </c>
      <c r="D131" s="67">
        <v>4517445</v>
      </c>
      <c r="E131" s="67"/>
      <c r="F131" s="61" t="str">
        <f t="shared" si="1"/>
        <v>借</v>
      </c>
      <c r="G131" s="64">
        <f>SUM(D$6:E131)</f>
        <v>311041431</v>
      </c>
      <c r="H131" s="61"/>
      <c r="I131" s="61" t="s">
        <v>926</v>
      </c>
      <c r="J131" s="61" t="s">
        <v>114</v>
      </c>
      <c r="K131" s="64">
        <v>4517445</v>
      </c>
      <c r="L131" s="61"/>
      <c r="M131" s="65" t="s">
        <v>224</v>
      </c>
      <c r="N131" s="61"/>
      <c r="O131" s="61">
        <v>2458</v>
      </c>
      <c r="P131" s="61"/>
      <c r="Q131" s="61"/>
      <c r="R131" s="61">
        <v>546399</v>
      </c>
      <c r="S131" s="66" t="s">
        <v>783</v>
      </c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 s="61" t="s">
        <v>856</v>
      </c>
      <c r="B132" s="62">
        <v>46107</v>
      </c>
      <c r="C132" s="63" t="s">
        <v>2964</v>
      </c>
      <c r="D132" s="67">
        <v>991500</v>
      </c>
      <c r="E132" s="67"/>
      <c r="F132" s="61" t="str">
        <f t="shared" si="1"/>
        <v>借</v>
      </c>
      <c r="G132" s="64">
        <f>SUM(D$6:E132)</f>
        <v>312032931</v>
      </c>
      <c r="H132" s="61"/>
      <c r="I132" s="61" t="s">
        <v>926</v>
      </c>
      <c r="J132" s="61" t="s">
        <v>114</v>
      </c>
      <c r="K132" s="64">
        <v>991500</v>
      </c>
      <c r="L132" s="61"/>
      <c r="M132" s="65" t="s">
        <v>224</v>
      </c>
      <c r="N132" s="61"/>
      <c r="O132" s="61">
        <v>2528</v>
      </c>
      <c r="P132" s="61"/>
      <c r="Q132" s="61"/>
      <c r="R132" s="61">
        <v>546399</v>
      </c>
      <c r="S132" s="66" t="s">
        <v>783</v>
      </c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 s="61" t="s">
        <v>856</v>
      </c>
      <c r="B133" s="62">
        <v>46107</v>
      </c>
      <c r="C133" s="63" t="s">
        <v>2965</v>
      </c>
      <c r="D133" s="67">
        <v>1080083</v>
      </c>
      <c r="E133" s="67"/>
      <c r="F133" s="61" t="str">
        <f t="shared" si="1"/>
        <v>借</v>
      </c>
      <c r="G133" s="64">
        <f>SUM(D$6:E133)</f>
        <v>313113014</v>
      </c>
      <c r="H133" s="61"/>
      <c r="I133" s="61" t="s">
        <v>926</v>
      </c>
      <c r="J133" s="61" t="s">
        <v>114</v>
      </c>
      <c r="K133" s="64">
        <v>1080083</v>
      </c>
      <c r="L133" s="61"/>
      <c r="M133" s="65" t="s">
        <v>224</v>
      </c>
      <c r="N133" s="61"/>
      <c r="O133" s="61">
        <v>3188</v>
      </c>
      <c r="P133" s="61"/>
      <c r="Q133" s="61"/>
      <c r="R133" s="61">
        <v>546399</v>
      </c>
      <c r="S133" s="66" t="s">
        <v>783</v>
      </c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 s="61" t="s">
        <v>856</v>
      </c>
      <c r="B134" s="62">
        <v>46107</v>
      </c>
      <c r="C134" s="63" t="s">
        <v>2966</v>
      </c>
      <c r="D134" s="67">
        <v>108500</v>
      </c>
      <c r="E134" s="67"/>
      <c r="F134" s="61" t="str">
        <f t="shared" si="1"/>
        <v>借</v>
      </c>
      <c r="G134" s="64">
        <f>SUM(D$6:E134)</f>
        <v>313221514</v>
      </c>
      <c r="H134" s="61"/>
      <c r="I134" s="61" t="s">
        <v>926</v>
      </c>
      <c r="J134" s="61" t="s">
        <v>114</v>
      </c>
      <c r="K134" s="64">
        <v>108500</v>
      </c>
      <c r="L134" s="61"/>
      <c r="M134" s="65" t="s">
        <v>224</v>
      </c>
      <c r="N134" s="61"/>
      <c r="O134" s="61">
        <v>3218</v>
      </c>
      <c r="P134" s="61"/>
      <c r="Q134" s="61"/>
      <c r="R134" s="61">
        <v>546399</v>
      </c>
      <c r="S134" s="66" t="s">
        <v>783</v>
      </c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 s="61" t="s">
        <v>856</v>
      </c>
      <c r="B135" s="62">
        <v>46107</v>
      </c>
      <c r="C135" s="63" t="s">
        <v>2967</v>
      </c>
      <c r="D135" s="67">
        <v>2720000</v>
      </c>
      <c r="E135" s="67"/>
      <c r="F135" s="61" t="str">
        <f t="shared" ref="F135:F198" si="2">IF(G135&gt;0,"借","貸")</f>
        <v>借</v>
      </c>
      <c r="G135" s="64">
        <f>SUM(D$6:E135)</f>
        <v>315941514</v>
      </c>
      <c r="H135" s="61"/>
      <c r="I135" s="61" t="s">
        <v>926</v>
      </c>
      <c r="J135" s="61" t="s">
        <v>114</v>
      </c>
      <c r="K135" s="64">
        <v>2720000</v>
      </c>
      <c r="L135" s="61"/>
      <c r="M135" s="65" t="s">
        <v>224</v>
      </c>
      <c r="N135" s="61"/>
      <c r="O135" s="61">
        <v>3596</v>
      </c>
      <c r="P135" s="61"/>
      <c r="Q135" s="61"/>
      <c r="R135" s="61">
        <v>546399</v>
      </c>
      <c r="S135" s="66" t="s">
        <v>783</v>
      </c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 s="61" t="s">
        <v>856</v>
      </c>
      <c r="B136" s="62">
        <v>46107</v>
      </c>
      <c r="C136" s="63" t="s">
        <v>2968</v>
      </c>
      <c r="D136" s="67">
        <v>243000</v>
      </c>
      <c r="E136" s="67"/>
      <c r="F136" s="61" t="str">
        <f t="shared" si="2"/>
        <v>借</v>
      </c>
      <c r="G136" s="64">
        <f>SUM(D$6:E136)</f>
        <v>316184514</v>
      </c>
      <c r="H136" s="61"/>
      <c r="I136" s="61" t="s">
        <v>926</v>
      </c>
      <c r="J136" s="61" t="s">
        <v>114</v>
      </c>
      <c r="K136" s="64">
        <v>243000</v>
      </c>
      <c r="L136" s="61"/>
      <c r="M136" s="65" t="s">
        <v>224</v>
      </c>
      <c r="N136" s="61"/>
      <c r="O136" s="61">
        <v>4105</v>
      </c>
      <c r="P136" s="61"/>
      <c r="Q136" s="61"/>
      <c r="R136" s="61">
        <v>546399</v>
      </c>
      <c r="S136" s="66" t="s">
        <v>783</v>
      </c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 s="61" t="s">
        <v>856</v>
      </c>
      <c r="B137" s="62">
        <v>46107</v>
      </c>
      <c r="C137" s="63" t="s">
        <v>2969</v>
      </c>
      <c r="D137" s="67">
        <v>24000</v>
      </c>
      <c r="E137" s="67"/>
      <c r="F137" s="61" t="str">
        <f t="shared" si="2"/>
        <v>借</v>
      </c>
      <c r="G137" s="64">
        <f>SUM(D$6:E137)</f>
        <v>316208514</v>
      </c>
      <c r="H137" s="61"/>
      <c r="I137" s="61" t="s">
        <v>926</v>
      </c>
      <c r="J137" s="61" t="s">
        <v>114</v>
      </c>
      <c r="K137" s="64">
        <v>24000</v>
      </c>
      <c r="L137" s="61"/>
      <c r="M137" s="65" t="s">
        <v>224</v>
      </c>
      <c r="N137" s="61"/>
      <c r="O137" s="61">
        <v>4420</v>
      </c>
      <c r="P137" s="61"/>
      <c r="Q137" s="61"/>
      <c r="R137" s="61">
        <v>546399</v>
      </c>
      <c r="S137" s="66" t="s">
        <v>783</v>
      </c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 s="61" t="s">
        <v>856</v>
      </c>
      <c r="B138" s="62">
        <v>46107</v>
      </c>
      <c r="C138" s="63" t="s">
        <v>2970</v>
      </c>
      <c r="D138" s="67">
        <v>50400</v>
      </c>
      <c r="E138" s="67"/>
      <c r="F138" s="61" t="str">
        <f t="shared" si="2"/>
        <v>借</v>
      </c>
      <c r="G138" s="64">
        <f>SUM(D$6:E138)</f>
        <v>316258914</v>
      </c>
      <c r="H138" s="61"/>
      <c r="I138" s="61" t="s">
        <v>926</v>
      </c>
      <c r="J138" s="61" t="s">
        <v>114</v>
      </c>
      <c r="K138" s="64">
        <v>50400</v>
      </c>
      <c r="L138" s="61"/>
      <c r="M138" s="65" t="s">
        <v>224</v>
      </c>
      <c r="N138" s="61"/>
      <c r="O138" s="61">
        <v>4930</v>
      </c>
      <c r="P138" s="61"/>
      <c r="Q138" s="61"/>
      <c r="R138" s="61">
        <v>546399</v>
      </c>
      <c r="S138" s="66" t="s">
        <v>783</v>
      </c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 s="61" t="s">
        <v>856</v>
      </c>
      <c r="B139" s="62">
        <v>46107</v>
      </c>
      <c r="C139" s="63" t="s">
        <v>2971</v>
      </c>
      <c r="D139" s="67">
        <v>1155000</v>
      </c>
      <c r="E139" s="67"/>
      <c r="F139" s="61" t="str">
        <f t="shared" si="2"/>
        <v>借</v>
      </c>
      <c r="G139" s="64">
        <f>SUM(D$6:E139)</f>
        <v>317413914</v>
      </c>
      <c r="H139" s="61"/>
      <c r="I139" s="61" t="s">
        <v>926</v>
      </c>
      <c r="J139" s="61" t="s">
        <v>114</v>
      </c>
      <c r="K139" s="64">
        <v>1155000</v>
      </c>
      <c r="L139" s="61"/>
      <c r="M139" s="65" t="s">
        <v>224</v>
      </c>
      <c r="N139" s="61"/>
      <c r="O139" s="61">
        <v>5403</v>
      </c>
      <c r="P139" s="61"/>
      <c r="Q139" s="61"/>
      <c r="R139" s="61">
        <v>546399</v>
      </c>
      <c r="S139" s="66" t="s">
        <v>783</v>
      </c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 s="61" t="s">
        <v>856</v>
      </c>
      <c r="B140" s="62">
        <v>46107</v>
      </c>
      <c r="C140" s="63" t="s">
        <v>2972</v>
      </c>
      <c r="D140" s="67">
        <v>108000</v>
      </c>
      <c r="E140" s="67"/>
      <c r="F140" s="61" t="str">
        <f t="shared" si="2"/>
        <v>借</v>
      </c>
      <c r="G140" s="64">
        <f>SUM(D$6:E140)</f>
        <v>317521914</v>
      </c>
      <c r="H140" s="61"/>
      <c r="I140" s="61" t="s">
        <v>926</v>
      </c>
      <c r="J140" s="61" t="s">
        <v>114</v>
      </c>
      <c r="K140" s="64">
        <v>108000</v>
      </c>
      <c r="L140" s="61"/>
      <c r="M140" s="65" t="s">
        <v>224</v>
      </c>
      <c r="N140" s="61"/>
      <c r="O140" s="61">
        <v>6151</v>
      </c>
      <c r="P140" s="61"/>
      <c r="Q140" s="61"/>
      <c r="R140" s="61">
        <v>546399</v>
      </c>
      <c r="S140" s="66" t="s">
        <v>783</v>
      </c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 s="61" t="s">
        <v>856</v>
      </c>
      <c r="B141" s="62">
        <v>46107</v>
      </c>
      <c r="C141" s="63" t="s">
        <v>2973</v>
      </c>
      <c r="D141" s="67">
        <v>1951600</v>
      </c>
      <c r="E141" s="67"/>
      <c r="F141" s="61" t="str">
        <f t="shared" si="2"/>
        <v>借</v>
      </c>
      <c r="G141" s="64">
        <f>SUM(D$6:E141)</f>
        <v>319473514</v>
      </c>
      <c r="H141" s="61"/>
      <c r="I141" s="61" t="s">
        <v>926</v>
      </c>
      <c r="J141" s="61" t="s">
        <v>114</v>
      </c>
      <c r="K141" s="64">
        <v>1951600</v>
      </c>
      <c r="L141" s="61"/>
      <c r="M141" s="65" t="s">
        <v>224</v>
      </c>
      <c r="N141" s="61"/>
      <c r="O141" s="61">
        <v>6188</v>
      </c>
      <c r="P141" s="61"/>
      <c r="Q141" s="61"/>
      <c r="R141" s="61">
        <v>546399</v>
      </c>
      <c r="S141" s="66" t="s">
        <v>783</v>
      </c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 s="61" t="s">
        <v>856</v>
      </c>
      <c r="B142" s="62">
        <v>46107</v>
      </c>
      <c r="C142" s="63" t="s">
        <v>2974</v>
      </c>
      <c r="D142" s="67">
        <v>1842982</v>
      </c>
      <c r="E142" s="67"/>
      <c r="F142" s="61" t="str">
        <f t="shared" si="2"/>
        <v>借</v>
      </c>
      <c r="G142" s="64">
        <f>SUM(D$6:E142)</f>
        <v>321316496</v>
      </c>
      <c r="H142" s="61"/>
      <c r="I142" s="61" t="s">
        <v>926</v>
      </c>
      <c r="J142" s="61" t="s">
        <v>114</v>
      </c>
      <c r="K142" s="64">
        <v>1842982</v>
      </c>
      <c r="L142" s="61"/>
      <c r="M142" s="65" t="s">
        <v>224</v>
      </c>
      <c r="N142" s="61"/>
      <c r="O142" s="61">
        <v>6415</v>
      </c>
      <c r="P142" s="61"/>
      <c r="Q142" s="61"/>
      <c r="R142" s="61">
        <v>546399</v>
      </c>
      <c r="S142" s="66" t="s">
        <v>783</v>
      </c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 s="61" t="s">
        <v>856</v>
      </c>
      <c r="B143" s="62">
        <v>46107</v>
      </c>
      <c r="C143" s="63" t="s">
        <v>2975</v>
      </c>
      <c r="D143" s="67">
        <v>316050</v>
      </c>
      <c r="E143" s="67"/>
      <c r="F143" s="61" t="str">
        <f t="shared" si="2"/>
        <v>借</v>
      </c>
      <c r="G143" s="64">
        <f>SUM(D$6:E143)</f>
        <v>321632546</v>
      </c>
      <c r="H143" s="61"/>
      <c r="I143" s="61" t="s">
        <v>926</v>
      </c>
      <c r="J143" s="61" t="s">
        <v>114</v>
      </c>
      <c r="K143" s="64">
        <v>316050</v>
      </c>
      <c r="L143" s="61"/>
      <c r="M143" s="65" t="s">
        <v>224</v>
      </c>
      <c r="N143" s="61"/>
      <c r="O143" s="61">
        <v>6423</v>
      </c>
      <c r="P143" s="61"/>
      <c r="Q143" s="61"/>
      <c r="R143" s="61">
        <v>546399</v>
      </c>
      <c r="S143" s="66" t="s">
        <v>783</v>
      </c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 s="61" t="s">
        <v>856</v>
      </c>
      <c r="B144" s="62">
        <v>46107</v>
      </c>
      <c r="C144" s="63" t="s">
        <v>2976</v>
      </c>
      <c r="D144" s="67">
        <v>64000</v>
      </c>
      <c r="E144" s="67"/>
      <c r="F144" s="61" t="str">
        <f t="shared" si="2"/>
        <v>借</v>
      </c>
      <c r="G144" s="64">
        <f>SUM(D$6:E144)</f>
        <v>321696546</v>
      </c>
      <c r="H144" s="61"/>
      <c r="I144" s="61" t="s">
        <v>926</v>
      </c>
      <c r="J144" s="61" t="s">
        <v>114</v>
      </c>
      <c r="K144" s="64">
        <v>64000</v>
      </c>
      <c r="L144" s="61"/>
      <c r="M144" s="65" t="s">
        <v>224</v>
      </c>
      <c r="N144" s="61"/>
      <c r="O144" s="61">
        <v>6523</v>
      </c>
      <c r="P144" s="61"/>
      <c r="Q144" s="61"/>
      <c r="R144" s="61">
        <v>546399</v>
      </c>
      <c r="S144" s="66" t="s">
        <v>783</v>
      </c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 s="61" t="s">
        <v>856</v>
      </c>
      <c r="B145" s="62">
        <v>46107</v>
      </c>
      <c r="C145" s="63" t="s">
        <v>2977</v>
      </c>
      <c r="D145" s="67">
        <v>253700</v>
      </c>
      <c r="E145" s="67"/>
      <c r="F145" s="61" t="str">
        <f t="shared" si="2"/>
        <v>借</v>
      </c>
      <c r="G145" s="64">
        <f>SUM(D$6:E145)</f>
        <v>321950246</v>
      </c>
      <c r="H145" s="61"/>
      <c r="I145" s="61" t="s">
        <v>926</v>
      </c>
      <c r="J145" s="61" t="s">
        <v>114</v>
      </c>
      <c r="K145" s="64">
        <v>253700</v>
      </c>
      <c r="L145" s="61"/>
      <c r="M145" s="65" t="s">
        <v>224</v>
      </c>
      <c r="N145" s="61"/>
      <c r="O145" s="61">
        <v>6534</v>
      </c>
      <c r="P145" s="61"/>
      <c r="Q145" s="61"/>
      <c r="R145" s="61">
        <v>546399</v>
      </c>
      <c r="S145" s="66" t="s">
        <v>783</v>
      </c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 s="61" t="s">
        <v>856</v>
      </c>
      <c r="B146" s="62">
        <v>46107</v>
      </c>
      <c r="C146" s="63" t="s">
        <v>2978</v>
      </c>
      <c r="D146" s="67">
        <v>3427800</v>
      </c>
      <c r="E146" s="67"/>
      <c r="F146" s="61" t="str">
        <f t="shared" si="2"/>
        <v>借</v>
      </c>
      <c r="G146" s="64">
        <f>SUM(D$6:E146)</f>
        <v>325378046</v>
      </c>
      <c r="H146" s="61"/>
      <c r="I146" s="61" t="s">
        <v>926</v>
      </c>
      <c r="J146" s="61" t="s">
        <v>114</v>
      </c>
      <c r="K146" s="64">
        <v>3427800</v>
      </c>
      <c r="L146" s="61"/>
      <c r="M146" s="65" t="s">
        <v>224</v>
      </c>
      <c r="N146" s="61"/>
      <c r="O146" s="61">
        <v>6596</v>
      </c>
      <c r="P146" s="61"/>
      <c r="Q146" s="61"/>
      <c r="R146" s="61">
        <v>546399</v>
      </c>
      <c r="S146" s="66" t="s">
        <v>783</v>
      </c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 s="61" t="s">
        <v>856</v>
      </c>
      <c r="B147" s="62">
        <v>46107</v>
      </c>
      <c r="C147" s="63" t="s">
        <v>2979</v>
      </c>
      <c r="D147" s="67">
        <v>192600</v>
      </c>
      <c r="E147" s="67"/>
      <c r="F147" s="61" t="str">
        <f t="shared" si="2"/>
        <v>借</v>
      </c>
      <c r="G147" s="64">
        <f>SUM(D$6:E147)</f>
        <v>325570646</v>
      </c>
      <c r="H147" s="61"/>
      <c r="I147" s="61" t="s">
        <v>926</v>
      </c>
      <c r="J147" s="61" t="s">
        <v>114</v>
      </c>
      <c r="K147" s="64">
        <v>192600</v>
      </c>
      <c r="L147" s="61"/>
      <c r="M147" s="65" t="s">
        <v>224</v>
      </c>
      <c r="N147" s="61"/>
      <c r="O147" s="61">
        <v>6642</v>
      </c>
      <c r="P147" s="61"/>
      <c r="Q147" s="61"/>
      <c r="R147" s="61">
        <v>546399</v>
      </c>
      <c r="S147" s="66" t="s">
        <v>783</v>
      </c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 s="61" t="s">
        <v>856</v>
      </c>
      <c r="B148" s="62">
        <v>46107</v>
      </c>
      <c r="C148" s="63" t="s">
        <v>2980</v>
      </c>
      <c r="D148" s="67">
        <v>148800</v>
      </c>
      <c r="E148" s="67"/>
      <c r="F148" s="61" t="str">
        <f t="shared" si="2"/>
        <v>借</v>
      </c>
      <c r="G148" s="64">
        <f>SUM(D$6:E148)</f>
        <v>325719446</v>
      </c>
      <c r="H148" s="61"/>
      <c r="I148" s="61" t="s">
        <v>926</v>
      </c>
      <c r="J148" s="61" t="s">
        <v>114</v>
      </c>
      <c r="K148" s="64">
        <v>148800</v>
      </c>
      <c r="L148" s="61"/>
      <c r="M148" s="65" t="s">
        <v>224</v>
      </c>
      <c r="N148" s="61"/>
      <c r="O148" s="61">
        <v>6703</v>
      </c>
      <c r="P148" s="61"/>
      <c r="Q148" s="61"/>
      <c r="R148" s="61">
        <v>546399</v>
      </c>
      <c r="S148" s="66" t="s">
        <v>783</v>
      </c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 s="61" t="s">
        <v>856</v>
      </c>
      <c r="B149" s="62">
        <v>46107</v>
      </c>
      <c r="C149" s="63" t="s">
        <v>2981</v>
      </c>
      <c r="D149" s="67">
        <v>588000</v>
      </c>
      <c r="E149" s="67"/>
      <c r="F149" s="61" t="str">
        <f t="shared" si="2"/>
        <v>借</v>
      </c>
      <c r="G149" s="64">
        <f>SUM(D$6:E149)</f>
        <v>326307446</v>
      </c>
      <c r="H149" s="61"/>
      <c r="I149" s="61" t="s">
        <v>926</v>
      </c>
      <c r="J149" s="61" t="s">
        <v>114</v>
      </c>
      <c r="K149" s="64">
        <v>588000</v>
      </c>
      <c r="L149" s="61"/>
      <c r="M149" s="65" t="s">
        <v>224</v>
      </c>
      <c r="N149" s="61"/>
      <c r="O149" s="61">
        <v>6761</v>
      </c>
      <c r="P149" s="61"/>
      <c r="Q149" s="61"/>
      <c r="R149" s="61">
        <v>546399</v>
      </c>
      <c r="S149" s="66" t="s">
        <v>783</v>
      </c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 s="61" t="s">
        <v>856</v>
      </c>
      <c r="B150" s="62">
        <v>46107</v>
      </c>
      <c r="C150" s="63" t="s">
        <v>2982</v>
      </c>
      <c r="D150" s="67">
        <v>150000</v>
      </c>
      <c r="E150" s="67"/>
      <c r="F150" s="61" t="str">
        <f t="shared" si="2"/>
        <v>借</v>
      </c>
      <c r="G150" s="64">
        <f>SUM(D$6:E150)</f>
        <v>326457446</v>
      </c>
      <c r="H150" s="61"/>
      <c r="I150" s="61" t="s">
        <v>926</v>
      </c>
      <c r="J150" s="61" t="s">
        <v>114</v>
      </c>
      <c r="K150" s="64">
        <v>150000</v>
      </c>
      <c r="L150" s="61"/>
      <c r="M150" s="65" t="s">
        <v>224</v>
      </c>
      <c r="N150" s="61"/>
      <c r="O150" s="61">
        <v>6953</v>
      </c>
      <c r="P150" s="61"/>
      <c r="Q150" s="61"/>
      <c r="R150" s="61">
        <v>546399</v>
      </c>
      <c r="S150" s="66" t="s">
        <v>783</v>
      </c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 s="61" t="s">
        <v>856</v>
      </c>
      <c r="B151" s="62">
        <v>46107</v>
      </c>
      <c r="C151" s="63" t="s">
        <v>2983</v>
      </c>
      <c r="D151" s="67">
        <v>4000</v>
      </c>
      <c r="E151" s="67"/>
      <c r="F151" s="61" t="str">
        <f t="shared" si="2"/>
        <v>借</v>
      </c>
      <c r="G151" s="64">
        <f>SUM(D$6:E151)</f>
        <v>326461446</v>
      </c>
      <c r="H151" s="61"/>
      <c r="I151" s="61" t="s">
        <v>926</v>
      </c>
      <c r="J151" s="61" t="s">
        <v>114</v>
      </c>
      <c r="K151" s="64">
        <v>4000</v>
      </c>
      <c r="L151" s="61"/>
      <c r="M151" s="65" t="s">
        <v>224</v>
      </c>
      <c r="N151" s="61"/>
      <c r="O151" s="61">
        <v>7732</v>
      </c>
      <c r="P151" s="61"/>
      <c r="Q151" s="61"/>
      <c r="R151" s="61">
        <v>546399</v>
      </c>
      <c r="S151" s="66" t="s">
        <v>783</v>
      </c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 s="61" t="s">
        <v>856</v>
      </c>
      <c r="B152" s="62">
        <v>46107</v>
      </c>
      <c r="C152" s="63" t="s">
        <v>2984</v>
      </c>
      <c r="D152" s="67">
        <v>212800</v>
      </c>
      <c r="E152" s="67"/>
      <c r="F152" s="61" t="str">
        <f t="shared" si="2"/>
        <v>借</v>
      </c>
      <c r="G152" s="64">
        <f>SUM(D$6:E152)</f>
        <v>326674246</v>
      </c>
      <c r="H152" s="61"/>
      <c r="I152" s="61" t="s">
        <v>926</v>
      </c>
      <c r="J152" s="61" t="s">
        <v>114</v>
      </c>
      <c r="K152" s="64">
        <v>212800</v>
      </c>
      <c r="L152" s="61"/>
      <c r="M152" s="65" t="s">
        <v>224</v>
      </c>
      <c r="N152" s="61"/>
      <c r="O152" s="61">
        <v>7736</v>
      </c>
      <c r="P152" s="61"/>
      <c r="Q152" s="61"/>
      <c r="R152" s="61">
        <v>546399</v>
      </c>
      <c r="S152" s="66" t="s">
        <v>783</v>
      </c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 s="61" t="s">
        <v>856</v>
      </c>
      <c r="B153" s="62">
        <v>46107</v>
      </c>
      <c r="C153" s="63" t="s">
        <v>2985</v>
      </c>
      <c r="D153" s="67">
        <v>145000</v>
      </c>
      <c r="E153" s="67"/>
      <c r="F153" s="61" t="str">
        <f t="shared" si="2"/>
        <v>借</v>
      </c>
      <c r="G153" s="64">
        <f>SUM(D$6:E153)</f>
        <v>326819246</v>
      </c>
      <c r="H153" s="61"/>
      <c r="I153" s="61" t="s">
        <v>926</v>
      </c>
      <c r="J153" s="61" t="s">
        <v>114</v>
      </c>
      <c r="K153" s="64">
        <v>145000</v>
      </c>
      <c r="L153" s="61"/>
      <c r="M153" s="65" t="s">
        <v>224</v>
      </c>
      <c r="N153" s="61"/>
      <c r="O153" s="61">
        <v>8109</v>
      </c>
      <c r="P153" s="61"/>
      <c r="Q153" s="61"/>
      <c r="R153" s="61">
        <v>546399</v>
      </c>
      <c r="S153" s="66" t="s">
        <v>783</v>
      </c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 s="61" t="s">
        <v>856</v>
      </c>
      <c r="B154" s="62">
        <v>46107</v>
      </c>
      <c r="C154" s="63" t="s">
        <v>2986</v>
      </c>
      <c r="D154" s="67">
        <v>159600</v>
      </c>
      <c r="E154" s="67"/>
      <c r="F154" s="61" t="str">
        <f t="shared" si="2"/>
        <v>借</v>
      </c>
      <c r="G154" s="64">
        <f>SUM(D$6:E154)</f>
        <v>326978846</v>
      </c>
      <c r="H154" s="61"/>
      <c r="I154" s="61" t="s">
        <v>926</v>
      </c>
      <c r="J154" s="61" t="s">
        <v>114</v>
      </c>
      <c r="K154" s="64">
        <v>159600</v>
      </c>
      <c r="L154" s="61"/>
      <c r="M154" s="65" t="s">
        <v>224</v>
      </c>
      <c r="N154" s="61"/>
      <c r="O154" s="61">
        <v>8367</v>
      </c>
      <c r="P154" s="61"/>
      <c r="Q154" s="61"/>
      <c r="R154" s="61">
        <v>546399</v>
      </c>
      <c r="S154" s="66" t="s">
        <v>783</v>
      </c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 s="61" t="s">
        <v>856</v>
      </c>
      <c r="B155" s="62">
        <v>46107</v>
      </c>
      <c r="C155" s="63" t="s">
        <v>2987</v>
      </c>
      <c r="D155" s="67">
        <v>97500</v>
      </c>
      <c r="E155" s="67"/>
      <c r="F155" s="61" t="str">
        <f t="shared" si="2"/>
        <v>借</v>
      </c>
      <c r="G155" s="64">
        <f>SUM(D$6:E155)</f>
        <v>327076346</v>
      </c>
      <c r="H155" s="61"/>
      <c r="I155" s="61" t="s">
        <v>926</v>
      </c>
      <c r="J155" s="61" t="s">
        <v>114</v>
      </c>
      <c r="K155" s="64">
        <v>97500</v>
      </c>
      <c r="L155" s="61"/>
      <c r="M155" s="65" t="s">
        <v>224</v>
      </c>
      <c r="N155" s="61"/>
      <c r="O155" s="61">
        <v>8908</v>
      </c>
      <c r="P155" s="61"/>
      <c r="Q155" s="61"/>
      <c r="R155" s="61">
        <v>546399</v>
      </c>
      <c r="S155" s="66" t="s">
        <v>783</v>
      </c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 s="61" t="s">
        <v>856</v>
      </c>
      <c r="B156" s="62">
        <v>46107</v>
      </c>
      <c r="C156" s="63" t="s">
        <v>2988</v>
      </c>
      <c r="D156" s="67">
        <v>2200</v>
      </c>
      <c r="E156" s="67"/>
      <c r="F156" s="61" t="str">
        <f t="shared" si="2"/>
        <v>借</v>
      </c>
      <c r="G156" s="64">
        <f>SUM(D$6:E156)</f>
        <v>327078546</v>
      </c>
      <c r="H156" s="61"/>
      <c r="I156" s="61" t="s">
        <v>926</v>
      </c>
      <c r="J156" s="61" t="s">
        <v>114</v>
      </c>
      <c r="K156" s="64">
        <v>2200</v>
      </c>
      <c r="L156" s="61"/>
      <c r="M156" s="65" t="s">
        <v>224</v>
      </c>
      <c r="N156" s="61"/>
      <c r="O156" s="61">
        <v>9949</v>
      </c>
      <c r="P156" s="61"/>
      <c r="Q156" s="61"/>
      <c r="R156" s="61">
        <v>546399</v>
      </c>
      <c r="S156" s="66" t="s">
        <v>783</v>
      </c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 s="61" t="s">
        <v>856</v>
      </c>
      <c r="B157" s="62">
        <v>46108</v>
      </c>
      <c r="C157" s="63" t="s">
        <v>2989</v>
      </c>
      <c r="D157" s="67">
        <v>204000</v>
      </c>
      <c r="E157" s="67"/>
      <c r="F157" s="61" t="str">
        <f t="shared" si="2"/>
        <v>借</v>
      </c>
      <c r="G157" s="64">
        <f>SUM(D$6:E157)</f>
        <v>327282546</v>
      </c>
      <c r="H157" s="61"/>
      <c r="I157" s="61" t="s">
        <v>926</v>
      </c>
      <c r="J157" s="61" t="s">
        <v>114</v>
      </c>
      <c r="K157" s="64">
        <v>204000</v>
      </c>
      <c r="L157" s="61"/>
      <c r="M157" s="65" t="s">
        <v>224</v>
      </c>
      <c r="N157" s="61"/>
      <c r="O157" s="61">
        <v>1295</v>
      </c>
      <c r="P157" s="61"/>
      <c r="Q157" s="61"/>
      <c r="R157" s="61">
        <v>546402</v>
      </c>
      <c r="S157" s="66" t="s">
        <v>783</v>
      </c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 s="61" t="s">
        <v>856</v>
      </c>
      <c r="B158" s="62">
        <v>46108</v>
      </c>
      <c r="C158" s="63" t="s">
        <v>2990</v>
      </c>
      <c r="D158" s="67">
        <v>63000</v>
      </c>
      <c r="E158" s="67"/>
      <c r="F158" s="61" t="str">
        <f t="shared" si="2"/>
        <v>借</v>
      </c>
      <c r="G158" s="64">
        <f>SUM(D$6:E158)</f>
        <v>327345546</v>
      </c>
      <c r="H158" s="61"/>
      <c r="I158" s="61" t="s">
        <v>926</v>
      </c>
      <c r="J158" s="61" t="s">
        <v>114</v>
      </c>
      <c r="K158" s="64">
        <v>63000</v>
      </c>
      <c r="L158" s="61"/>
      <c r="M158" s="65" t="s">
        <v>224</v>
      </c>
      <c r="N158" s="61"/>
      <c r="O158" s="61">
        <v>1457</v>
      </c>
      <c r="P158" s="61"/>
      <c r="Q158" s="61"/>
      <c r="R158" s="61">
        <v>546402</v>
      </c>
      <c r="S158" s="66" t="s">
        <v>783</v>
      </c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 s="61" t="s">
        <v>856</v>
      </c>
      <c r="B159" s="62">
        <v>46108</v>
      </c>
      <c r="C159" s="63" t="s">
        <v>2991</v>
      </c>
      <c r="D159" s="67">
        <v>11576400</v>
      </c>
      <c r="E159" s="67"/>
      <c r="F159" s="61" t="str">
        <f t="shared" si="2"/>
        <v>借</v>
      </c>
      <c r="G159" s="64">
        <f>SUM(D$6:E159)</f>
        <v>338921946</v>
      </c>
      <c r="H159" s="61"/>
      <c r="I159" s="61" t="s">
        <v>926</v>
      </c>
      <c r="J159" s="61" t="s">
        <v>114</v>
      </c>
      <c r="K159" s="64">
        <v>11576400</v>
      </c>
      <c r="L159" s="61"/>
      <c r="M159" s="65" t="s">
        <v>224</v>
      </c>
      <c r="N159" s="61"/>
      <c r="O159" s="61">
        <v>2324</v>
      </c>
      <c r="P159" s="61"/>
      <c r="Q159" s="61"/>
      <c r="R159" s="61">
        <v>546402</v>
      </c>
      <c r="S159" s="66" t="s">
        <v>783</v>
      </c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 s="61" t="s">
        <v>856</v>
      </c>
      <c r="B160" s="62">
        <v>46108</v>
      </c>
      <c r="C160" s="63" t="s">
        <v>2992</v>
      </c>
      <c r="D160" s="67">
        <v>2574000</v>
      </c>
      <c r="E160" s="67"/>
      <c r="F160" s="61" t="str">
        <f t="shared" si="2"/>
        <v>借</v>
      </c>
      <c r="G160" s="64">
        <f>SUM(D$6:E160)</f>
        <v>341495946</v>
      </c>
      <c r="H160" s="61"/>
      <c r="I160" s="61" t="s">
        <v>926</v>
      </c>
      <c r="J160" s="61" t="s">
        <v>114</v>
      </c>
      <c r="K160" s="64">
        <v>2574000</v>
      </c>
      <c r="L160" s="61"/>
      <c r="M160" s="65" t="s">
        <v>224</v>
      </c>
      <c r="N160" s="61"/>
      <c r="O160" s="61">
        <v>2344</v>
      </c>
      <c r="P160" s="61"/>
      <c r="Q160" s="61"/>
      <c r="R160" s="61">
        <v>546402</v>
      </c>
      <c r="S160" s="66" t="s">
        <v>783</v>
      </c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 s="61" t="s">
        <v>856</v>
      </c>
      <c r="B161" s="62">
        <v>46108</v>
      </c>
      <c r="C161" s="63" t="s">
        <v>2993</v>
      </c>
      <c r="D161" s="67">
        <v>2428000</v>
      </c>
      <c r="E161" s="67"/>
      <c r="F161" s="61" t="str">
        <f t="shared" si="2"/>
        <v>借</v>
      </c>
      <c r="G161" s="64">
        <f>SUM(D$6:E161)</f>
        <v>343923946</v>
      </c>
      <c r="H161" s="61"/>
      <c r="I161" s="61" t="s">
        <v>926</v>
      </c>
      <c r="J161" s="61" t="s">
        <v>114</v>
      </c>
      <c r="K161" s="64">
        <v>2428000</v>
      </c>
      <c r="L161" s="61"/>
      <c r="M161" s="65" t="s">
        <v>224</v>
      </c>
      <c r="N161" s="61"/>
      <c r="O161" s="61">
        <v>2387</v>
      </c>
      <c r="P161" s="61"/>
      <c r="Q161" s="61"/>
      <c r="R161" s="61">
        <v>546402</v>
      </c>
      <c r="S161" s="66" t="s">
        <v>783</v>
      </c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 s="61" t="s">
        <v>856</v>
      </c>
      <c r="B162" s="62">
        <v>46108</v>
      </c>
      <c r="C162" s="63" t="s">
        <v>2994</v>
      </c>
      <c r="D162" s="67">
        <v>21000</v>
      </c>
      <c r="E162" s="67"/>
      <c r="F162" s="61" t="str">
        <f t="shared" si="2"/>
        <v>借</v>
      </c>
      <c r="G162" s="64">
        <f>SUM(D$6:E162)</f>
        <v>343944946</v>
      </c>
      <c r="H162" s="61"/>
      <c r="I162" s="61" t="s">
        <v>926</v>
      </c>
      <c r="J162" s="61" t="s">
        <v>114</v>
      </c>
      <c r="K162" s="64">
        <v>21000</v>
      </c>
      <c r="L162" s="61"/>
      <c r="M162" s="65" t="s">
        <v>224</v>
      </c>
      <c r="N162" s="61"/>
      <c r="O162" s="61">
        <v>2483</v>
      </c>
      <c r="P162" s="61"/>
      <c r="Q162" s="61"/>
      <c r="R162" s="61">
        <v>546402</v>
      </c>
      <c r="S162" s="66" t="s">
        <v>783</v>
      </c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 s="61" t="s">
        <v>856</v>
      </c>
      <c r="B163" s="62">
        <v>46108</v>
      </c>
      <c r="C163" s="63" t="s">
        <v>2995</v>
      </c>
      <c r="D163" s="67">
        <v>87000</v>
      </c>
      <c r="E163" s="67"/>
      <c r="F163" s="61" t="str">
        <f t="shared" si="2"/>
        <v>借</v>
      </c>
      <c r="G163" s="64">
        <f>SUM(D$6:E163)</f>
        <v>344031946</v>
      </c>
      <c r="H163" s="61"/>
      <c r="I163" s="61" t="s">
        <v>926</v>
      </c>
      <c r="J163" s="61" t="s">
        <v>114</v>
      </c>
      <c r="K163" s="64">
        <v>87000</v>
      </c>
      <c r="L163" s="61"/>
      <c r="M163" s="65" t="s">
        <v>224</v>
      </c>
      <c r="N163" s="61"/>
      <c r="O163" s="61">
        <v>2496</v>
      </c>
      <c r="P163" s="61"/>
      <c r="Q163" s="61"/>
      <c r="R163" s="61">
        <v>546402</v>
      </c>
      <c r="S163" s="66" t="s">
        <v>783</v>
      </c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 s="61" t="s">
        <v>856</v>
      </c>
      <c r="B164" s="62">
        <v>46108</v>
      </c>
      <c r="C164" s="63" t="s">
        <v>2996</v>
      </c>
      <c r="D164" s="67">
        <v>300000</v>
      </c>
      <c r="E164" s="67"/>
      <c r="F164" s="61" t="str">
        <f t="shared" si="2"/>
        <v>借</v>
      </c>
      <c r="G164" s="64">
        <f>SUM(D$6:E164)</f>
        <v>344331946</v>
      </c>
      <c r="H164" s="61"/>
      <c r="I164" s="61" t="s">
        <v>926</v>
      </c>
      <c r="J164" s="61" t="s">
        <v>114</v>
      </c>
      <c r="K164" s="64">
        <v>300000</v>
      </c>
      <c r="L164" s="61"/>
      <c r="M164" s="65" t="s">
        <v>224</v>
      </c>
      <c r="N164" s="61"/>
      <c r="O164" s="61">
        <v>4583</v>
      </c>
      <c r="P164" s="61"/>
      <c r="Q164" s="61"/>
      <c r="R164" s="61">
        <v>546402</v>
      </c>
      <c r="S164" s="66" t="s">
        <v>783</v>
      </c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 s="61" t="s">
        <v>856</v>
      </c>
      <c r="B165" s="62">
        <v>46108</v>
      </c>
      <c r="C165" s="63" t="s">
        <v>2997</v>
      </c>
      <c r="D165" s="67">
        <v>3403111</v>
      </c>
      <c r="E165" s="67"/>
      <c r="F165" s="61" t="str">
        <f t="shared" si="2"/>
        <v>借</v>
      </c>
      <c r="G165" s="64">
        <f>SUM(D$6:E165)</f>
        <v>347735057</v>
      </c>
      <c r="H165" s="61"/>
      <c r="I165" s="61" t="s">
        <v>926</v>
      </c>
      <c r="J165" s="61" t="s">
        <v>114</v>
      </c>
      <c r="K165" s="64">
        <v>3403111</v>
      </c>
      <c r="L165" s="61"/>
      <c r="M165" s="65" t="s">
        <v>224</v>
      </c>
      <c r="N165" s="61"/>
      <c r="O165" s="61">
        <v>5225</v>
      </c>
      <c r="P165" s="61"/>
      <c r="Q165" s="61"/>
      <c r="R165" s="61">
        <v>546402</v>
      </c>
      <c r="S165" s="66" t="s">
        <v>783</v>
      </c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 s="61" t="s">
        <v>856</v>
      </c>
      <c r="B166" s="62">
        <v>46108</v>
      </c>
      <c r="C166" s="63" t="s">
        <v>2998</v>
      </c>
      <c r="D166" s="67">
        <v>27200</v>
      </c>
      <c r="E166" s="67"/>
      <c r="F166" s="61" t="str">
        <f t="shared" si="2"/>
        <v>借</v>
      </c>
      <c r="G166" s="64">
        <f>SUM(D$6:E166)</f>
        <v>347762257</v>
      </c>
      <c r="H166" s="61"/>
      <c r="I166" s="61" t="s">
        <v>926</v>
      </c>
      <c r="J166" s="61" t="s">
        <v>114</v>
      </c>
      <c r="K166" s="64">
        <v>27200</v>
      </c>
      <c r="L166" s="61"/>
      <c r="M166" s="65" t="s">
        <v>224</v>
      </c>
      <c r="N166" s="61"/>
      <c r="O166" s="61">
        <v>5283</v>
      </c>
      <c r="P166" s="61"/>
      <c r="Q166" s="61"/>
      <c r="R166" s="61">
        <v>546402</v>
      </c>
      <c r="S166" s="66" t="s">
        <v>783</v>
      </c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 s="61" t="s">
        <v>856</v>
      </c>
      <c r="B167" s="62">
        <v>46108</v>
      </c>
      <c r="C167" s="63" t="s">
        <v>2999</v>
      </c>
      <c r="D167" s="67">
        <v>31800</v>
      </c>
      <c r="E167" s="67"/>
      <c r="F167" s="61" t="str">
        <f t="shared" si="2"/>
        <v>借</v>
      </c>
      <c r="G167" s="64">
        <f>SUM(D$6:E167)</f>
        <v>347794057</v>
      </c>
      <c r="H167" s="61"/>
      <c r="I167" s="61" t="s">
        <v>926</v>
      </c>
      <c r="J167" s="61" t="s">
        <v>114</v>
      </c>
      <c r="K167" s="64">
        <v>31800</v>
      </c>
      <c r="L167" s="61"/>
      <c r="M167" s="65" t="s">
        <v>224</v>
      </c>
      <c r="N167" s="61"/>
      <c r="O167" s="61">
        <v>6581</v>
      </c>
      <c r="P167" s="61"/>
      <c r="Q167" s="61"/>
      <c r="R167" s="61">
        <v>546402</v>
      </c>
      <c r="S167" s="66" t="s">
        <v>783</v>
      </c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 s="61" t="s">
        <v>856</v>
      </c>
      <c r="B168" s="62">
        <v>46108</v>
      </c>
      <c r="C168" s="63" t="s">
        <v>3000</v>
      </c>
      <c r="D168" s="67">
        <v>348000</v>
      </c>
      <c r="E168" s="67"/>
      <c r="F168" s="61" t="str">
        <f t="shared" si="2"/>
        <v>借</v>
      </c>
      <c r="G168" s="64">
        <f>SUM(D$6:E168)</f>
        <v>348142057</v>
      </c>
      <c r="H168" s="61"/>
      <c r="I168" s="61" t="s">
        <v>926</v>
      </c>
      <c r="J168" s="61" t="s">
        <v>114</v>
      </c>
      <c r="K168" s="64">
        <v>348000</v>
      </c>
      <c r="L168" s="61"/>
      <c r="M168" s="65" t="s">
        <v>224</v>
      </c>
      <c r="N168" s="61"/>
      <c r="O168" s="61">
        <v>6651</v>
      </c>
      <c r="P168" s="61"/>
      <c r="Q168" s="61"/>
      <c r="R168" s="61">
        <v>546402</v>
      </c>
      <c r="S168" s="66" t="s">
        <v>783</v>
      </c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 s="61" t="s">
        <v>856</v>
      </c>
      <c r="B169" s="62">
        <v>46108</v>
      </c>
      <c r="C169" s="63" t="s">
        <v>3001</v>
      </c>
      <c r="D169" s="67">
        <v>26000</v>
      </c>
      <c r="E169" s="67"/>
      <c r="F169" s="61" t="str">
        <f t="shared" si="2"/>
        <v>借</v>
      </c>
      <c r="G169" s="64">
        <f>SUM(D$6:E169)</f>
        <v>348168057</v>
      </c>
      <c r="H169" s="61"/>
      <c r="I169" s="61" t="s">
        <v>926</v>
      </c>
      <c r="J169" s="61" t="s">
        <v>114</v>
      </c>
      <c r="K169" s="64">
        <v>26000</v>
      </c>
      <c r="L169" s="61"/>
      <c r="M169" s="65" t="s">
        <v>224</v>
      </c>
      <c r="N169" s="61"/>
      <c r="O169" s="61">
        <v>6697</v>
      </c>
      <c r="P169" s="61"/>
      <c r="Q169" s="61"/>
      <c r="R169" s="61">
        <v>546402</v>
      </c>
      <c r="S169" s="66" t="s">
        <v>783</v>
      </c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 s="61" t="s">
        <v>856</v>
      </c>
      <c r="B170" s="62">
        <v>46108</v>
      </c>
      <c r="C170" s="63" t="s">
        <v>3002</v>
      </c>
      <c r="D170" s="67">
        <v>22500</v>
      </c>
      <c r="E170" s="67"/>
      <c r="F170" s="61" t="str">
        <f t="shared" si="2"/>
        <v>借</v>
      </c>
      <c r="G170" s="64">
        <f>SUM(D$6:E170)</f>
        <v>348190557</v>
      </c>
      <c r="H170" s="61"/>
      <c r="I170" s="61" t="s">
        <v>926</v>
      </c>
      <c r="J170" s="61" t="s">
        <v>114</v>
      </c>
      <c r="K170" s="64">
        <v>22500</v>
      </c>
      <c r="L170" s="61"/>
      <c r="M170" s="65" t="s">
        <v>224</v>
      </c>
      <c r="N170" s="61"/>
      <c r="O170" s="61">
        <v>6752</v>
      </c>
      <c r="P170" s="61"/>
      <c r="Q170" s="61"/>
      <c r="R170" s="61">
        <v>546402</v>
      </c>
      <c r="S170" s="66" t="s">
        <v>783</v>
      </c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 s="61" t="s">
        <v>856</v>
      </c>
      <c r="B171" s="62">
        <v>46108</v>
      </c>
      <c r="C171" s="63" t="s">
        <v>3003</v>
      </c>
      <c r="D171" s="67">
        <v>100000</v>
      </c>
      <c r="E171" s="67"/>
      <c r="F171" s="61" t="str">
        <f t="shared" si="2"/>
        <v>借</v>
      </c>
      <c r="G171" s="64">
        <f>SUM(D$6:E171)</f>
        <v>348290557</v>
      </c>
      <c r="H171" s="61"/>
      <c r="I171" s="61" t="s">
        <v>926</v>
      </c>
      <c r="J171" s="61" t="s">
        <v>114</v>
      </c>
      <c r="K171" s="64">
        <v>100000</v>
      </c>
      <c r="L171" s="61"/>
      <c r="M171" s="65" t="s">
        <v>224</v>
      </c>
      <c r="N171" s="61"/>
      <c r="O171" s="61">
        <v>6918</v>
      </c>
      <c r="P171" s="61"/>
      <c r="Q171" s="61"/>
      <c r="R171" s="61">
        <v>546402</v>
      </c>
      <c r="S171" s="66" t="s">
        <v>783</v>
      </c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 s="61" t="s">
        <v>856</v>
      </c>
      <c r="B172" s="62">
        <v>46108</v>
      </c>
      <c r="C172" s="63" t="s">
        <v>3004</v>
      </c>
      <c r="D172" s="67">
        <v>7400</v>
      </c>
      <c r="E172" s="67"/>
      <c r="F172" s="61" t="str">
        <f t="shared" si="2"/>
        <v>借</v>
      </c>
      <c r="G172" s="64">
        <f>SUM(D$6:E172)</f>
        <v>348297957</v>
      </c>
      <c r="H172" s="61"/>
      <c r="I172" s="61" t="s">
        <v>926</v>
      </c>
      <c r="J172" s="61" t="s">
        <v>114</v>
      </c>
      <c r="K172" s="64">
        <v>7400</v>
      </c>
      <c r="L172" s="61"/>
      <c r="M172" s="65" t="s">
        <v>224</v>
      </c>
      <c r="N172" s="61"/>
      <c r="O172" s="61">
        <v>6967</v>
      </c>
      <c r="P172" s="61"/>
      <c r="Q172" s="61"/>
      <c r="R172" s="61">
        <v>546402</v>
      </c>
      <c r="S172" s="66" t="s">
        <v>783</v>
      </c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 s="61" t="s">
        <v>856</v>
      </c>
      <c r="B173" s="62">
        <v>46108</v>
      </c>
      <c r="C173" s="63" t="s">
        <v>3005</v>
      </c>
      <c r="D173" s="67">
        <v>73800</v>
      </c>
      <c r="E173" s="67"/>
      <c r="F173" s="61" t="str">
        <f t="shared" si="2"/>
        <v>借</v>
      </c>
      <c r="G173" s="64">
        <f>SUM(D$6:E173)</f>
        <v>348371757</v>
      </c>
      <c r="H173" s="61"/>
      <c r="I173" s="61" t="s">
        <v>926</v>
      </c>
      <c r="J173" s="61" t="s">
        <v>114</v>
      </c>
      <c r="K173" s="64">
        <v>73800</v>
      </c>
      <c r="L173" s="61"/>
      <c r="M173" s="65" t="s">
        <v>224</v>
      </c>
      <c r="N173" s="61"/>
      <c r="O173" s="61">
        <v>7713</v>
      </c>
      <c r="P173" s="61"/>
      <c r="Q173" s="61"/>
      <c r="R173" s="61">
        <v>546402</v>
      </c>
      <c r="S173" s="66" t="s">
        <v>783</v>
      </c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 s="61" t="s">
        <v>856</v>
      </c>
      <c r="B174" s="62">
        <v>46108</v>
      </c>
      <c r="C174" s="63" t="s">
        <v>3006</v>
      </c>
      <c r="D174" s="67">
        <v>67200</v>
      </c>
      <c r="E174" s="67"/>
      <c r="F174" s="61" t="str">
        <f t="shared" si="2"/>
        <v>借</v>
      </c>
      <c r="G174" s="64">
        <f>SUM(D$6:E174)</f>
        <v>348438957</v>
      </c>
      <c r="H174" s="61"/>
      <c r="I174" s="61" t="s">
        <v>926</v>
      </c>
      <c r="J174" s="61" t="s">
        <v>114</v>
      </c>
      <c r="K174" s="64">
        <v>67200</v>
      </c>
      <c r="L174" s="61"/>
      <c r="M174" s="65" t="s">
        <v>224</v>
      </c>
      <c r="N174" s="61"/>
      <c r="O174" s="61">
        <v>8401</v>
      </c>
      <c r="P174" s="61"/>
      <c r="Q174" s="61"/>
      <c r="R174" s="61">
        <v>546402</v>
      </c>
      <c r="S174" s="66" t="s">
        <v>783</v>
      </c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 s="61" t="s">
        <v>856</v>
      </c>
      <c r="B175" s="62">
        <v>46108</v>
      </c>
      <c r="C175" s="63" t="s">
        <v>3007</v>
      </c>
      <c r="D175" s="67">
        <v>134200</v>
      </c>
      <c r="E175" s="67"/>
      <c r="F175" s="61" t="str">
        <f t="shared" si="2"/>
        <v>借</v>
      </c>
      <c r="G175" s="64">
        <f>SUM(D$6:E175)</f>
        <v>348573157</v>
      </c>
      <c r="H175" s="61"/>
      <c r="I175" s="61" t="s">
        <v>926</v>
      </c>
      <c r="J175" s="61" t="s">
        <v>114</v>
      </c>
      <c r="K175" s="64">
        <v>134200</v>
      </c>
      <c r="L175" s="61"/>
      <c r="M175" s="65" t="s">
        <v>224</v>
      </c>
      <c r="N175" s="61"/>
      <c r="O175" s="61">
        <v>8930</v>
      </c>
      <c r="P175" s="61"/>
      <c r="Q175" s="61"/>
      <c r="R175" s="61">
        <v>546402</v>
      </c>
      <c r="S175" s="66" t="s">
        <v>783</v>
      </c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 s="61" t="s">
        <v>856</v>
      </c>
      <c r="B176" s="62">
        <v>46108</v>
      </c>
      <c r="C176" s="63" t="s">
        <v>3008</v>
      </c>
      <c r="D176" s="67">
        <v>696946</v>
      </c>
      <c r="E176" s="67"/>
      <c r="F176" s="61" t="str">
        <f t="shared" si="2"/>
        <v>借</v>
      </c>
      <c r="G176" s="64">
        <f>SUM(D$6:E176)</f>
        <v>349270103</v>
      </c>
      <c r="H176" s="61"/>
      <c r="I176" s="61" t="s">
        <v>926</v>
      </c>
      <c r="J176" s="61" t="s">
        <v>114</v>
      </c>
      <c r="K176" s="64">
        <v>696946</v>
      </c>
      <c r="L176" s="61"/>
      <c r="M176" s="65" t="s">
        <v>224</v>
      </c>
      <c r="N176" s="61"/>
      <c r="O176" s="61">
        <v>8996</v>
      </c>
      <c r="P176" s="61"/>
      <c r="Q176" s="61"/>
      <c r="R176" s="61">
        <v>546402</v>
      </c>
      <c r="S176" s="66" t="s">
        <v>783</v>
      </c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 s="61" t="s">
        <v>856</v>
      </c>
      <c r="B177" s="62">
        <v>46111</v>
      </c>
      <c r="C177" s="63" t="s">
        <v>3009</v>
      </c>
      <c r="D177" s="67">
        <v>2650000</v>
      </c>
      <c r="E177" s="67"/>
      <c r="F177" s="61" t="str">
        <f t="shared" si="2"/>
        <v>借</v>
      </c>
      <c r="G177" s="64">
        <f>SUM(D$6:E177)</f>
        <v>351920103</v>
      </c>
      <c r="H177" s="61"/>
      <c r="I177" s="61" t="s">
        <v>926</v>
      </c>
      <c r="J177" s="61" t="s">
        <v>114</v>
      </c>
      <c r="K177" s="64">
        <v>2650000</v>
      </c>
      <c r="L177" s="61"/>
      <c r="M177" s="65" t="s">
        <v>224</v>
      </c>
      <c r="N177" s="61"/>
      <c r="O177" s="61">
        <v>5222</v>
      </c>
      <c r="P177" s="61"/>
      <c r="Q177" s="61"/>
      <c r="R177" s="61">
        <v>546770</v>
      </c>
      <c r="S177" s="66" t="s">
        <v>783</v>
      </c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 s="61" t="s">
        <v>856</v>
      </c>
      <c r="B178" s="62">
        <v>46112</v>
      </c>
      <c r="C178" s="63" t="s">
        <v>3010</v>
      </c>
      <c r="D178" s="67">
        <v>1046733</v>
      </c>
      <c r="E178" s="67"/>
      <c r="F178" s="61" t="str">
        <f t="shared" si="2"/>
        <v>借</v>
      </c>
      <c r="G178" s="64">
        <f>SUM(D$6:E178)</f>
        <v>352966836</v>
      </c>
      <c r="H178" s="61"/>
      <c r="I178" s="61" t="s">
        <v>3011</v>
      </c>
      <c r="J178" s="61" t="s">
        <v>114</v>
      </c>
      <c r="K178" s="64">
        <v>1046733</v>
      </c>
      <c r="L178" s="61"/>
      <c r="M178" s="65" t="s">
        <v>224</v>
      </c>
      <c r="N178" s="61"/>
      <c r="O178" s="61"/>
      <c r="P178" s="61"/>
      <c r="Q178" s="61"/>
      <c r="R178" s="61">
        <v>547008</v>
      </c>
      <c r="S178" s="66" t="s">
        <v>41</v>
      </c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 s="61" t="s">
        <v>856</v>
      </c>
      <c r="B179" s="62">
        <v>46112</v>
      </c>
      <c r="C179" s="63" t="s">
        <v>3012</v>
      </c>
      <c r="D179" s="67">
        <v>550000</v>
      </c>
      <c r="E179" s="67"/>
      <c r="F179" s="61" t="str">
        <f t="shared" si="2"/>
        <v>借</v>
      </c>
      <c r="G179" s="64">
        <f>SUM(D$6:E179)</f>
        <v>353516836</v>
      </c>
      <c r="H179" s="61"/>
      <c r="I179" s="61" t="s">
        <v>3013</v>
      </c>
      <c r="J179" s="61" t="s">
        <v>114</v>
      </c>
      <c r="K179" s="64">
        <v>550000</v>
      </c>
      <c r="L179" s="61"/>
      <c r="M179" s="65" t="s">
        <v>1161</v>
      </c>
      <c r="N179" s="61"/>
      <c r="O179" s="61"/>
      <c r="P179" s="61"/>
      <c r="Q179" s="61"/>
      <c r="R179" s="61">
        <v>547082</v>
      </c>
      <c r="S179" s="66" t="s">
        <v>41</v>
      </c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 s="61" t="s">
        <v>856</v>
      </c>
      <c r="B180" s="62">
        <v>46112</v>
      </c>
      <c r="C180" s="63" t="s">
        <v>3014</v>
      </c>
      <c r="D180" s="67">
        <v>1535328</v>
      </c>
      <c r="E180" s="67"/>
      <c r="F180" s="61" t="str">
        <f t="shared" si="2"/>
        <v>借</v>
      </c>
      <c r="G180" s="64">
        <f>SUM(D$6:E180)</f>
        <v>355052164</v>
      </c>
      <c r="H180" s="61"/>
      <c r="I180" s="61" t="s">
        <v>926</v>
      </c>
      <c r="J180" s="61" t="s">
        <v>114</v>
      </c>
      <c r="K180" s="64">
        <v>1535328</v>
      </c>
      <c r="L180" s="61"/>
      <c r="M180" s="65" t="s">
        <v>224</v>
      </c>
      <c r="N180" s="61"/>
      <c r="O180" s="61">
        <v>939</v>
      </c>
      <c r="P180" s="61"/>
      <c r="Q180" s="61"/>
      <c r="R180" s="61">
        <v>547214</v>
      </c>
      <c r="S180" s="66" t="s">
        <v>783</v>
      </c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 s="61" t="s">
        <v>856</v>
      </c>
      <c r="B181" s="62">
        <v>46112</v>
      </c>
      <c r="C181" s="63" t="s">
        <v>3015</v>
      </c>
      <c r="D181" s="67">
        <v>5440</v>
      </c>
      <c r="E181" s="67"/>
      <c r="F181" s="61" t="str">
        <f t="shared" si="2"/>
        <v>借</v>
      </c>
      <c r="G181" s="64">
        <f>SUM(D$6:E181)</f>
        <v>355057604</v>
      </c>
      <c r="H181" s="61"/>
      <c r="I181" s="61" t="s">
        <v>926</v>
      </c>
      <c r="J181" s="61" t="s">
        <v>114</v>
      </c>
      <c r="K181" s="64">
        <v>5440</v>
      </c>
      <c r="L181" s="61"/>
      <c r="M181" s="65" t="s">
        <v>224</v>
      </c>
      <c r="N181" s="61"/>
      <c r="O181" s="61" t="s">
        <v>3016</v>
      </c>
      <c r="P181" s="61"/>
      <c r="Q181" s="61"/>
      <c r="R181" s="61">
        <v>547214</v>
      </c>
      <c r="S181" s="66" t="s">
        <v>783</v>
      </c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 s="61" t="s">
        <v>856</v>
      </c>
      <c r="B182" s="62">
        <v>46112</v>
      </c>
      <c r="C182" s="63" t="s">
        <v>3017</v>
      </c>
      <c r="D182" s="67">
        <v>2752</v>
      </c>
      <c r="E182" s="67"/>
      <c r="F182" s="61" t="str">
        <f t="shared" si="2"/>
        <v>借</v>
      </c>
      <c r="G182" s="64">
        <f>SUM(D$6:E182)</f>
        <v>355060356</v>
      </c>
      <c r="H182" s="61"/>
      <c r="I182" s="61" t="s">
        <v>926</v>
      </c>
      <c r="J182" s="61" t="s">
        <v>114</v>
      </c>
      <c r="K182" s="64">
        <v>2752</v>
      </c>
      <c r="L182" s="61"/>
      <c r="M182" s="65" t="s">
        <v>224</v>
      </c>
      <c r="N182" s="61"/>
      <c r="O182" s="61" t="s">
        <v>3018</v>
      </c>
      <c r="P182" s="61"/>
      <c r="Q182" s="61"/>
      <c r="R182" s="61">
        <v>547214</v>
      </c>
      <c r="S182" s="66" t="s">
        <v>783</v>
      </c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 s="61" t="s">
        <v>856</v>
      </c>
      <c r="B183" s="62">
        <v>46112</v>
      </c>
      <c r="C183" s="63" t="s">
        <v>3019</v>
      </c>
      <c r="D183" s="67">
        <v>15800</v>
      </c>
      <c r="E183" s="67"/>
      <c r="F183" s="61" t="str">
        <f t="shared" si="2"/>
        <v>借</v>
      </c>
      <c r="G183" s="64">
        <f>SUM(D$6:E183)</f>
        <v>355076156</v>
      </c>
      <c r="H183" s="61"/>
      <c r="I183" s="61" t="s">
        <v>926</v>
      </c>
      <c r="J183" s="61" t="s">
        <v>114</v>
      </c>
      <c r="K183" s="64">
        <v>15800</v>
      </c>
      <c r="L183" s="61"/>
      <c r="M183" s="65" t="s">
        <v>224</v>
      </c>
      <c r="N183" s="61"/>
      <c r="O183" s="61">
        <v>1414</v>
      </c>
      <c r="P183" s="61"/>
      <c r="Q183" s="61"/>
      <c r="R183" s="61">
        <v>547214</v>
      </c>
      <c r="S183" s="66" t="s">
        <v>783</v>
      </c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 s="61" t="s">
        <v>856</v>
      </c>
      <c r="B184" s="62">
        <v>46112</v>
      </c>
      <c r="C184" s="63" t="s">
        <v>3020</v>
      </c>
      <c r="D184" s="67">
        <v>90000</v>
      </c>
      <c r="E184" s="67"/>
      <c r="F184" s="61" t="str">
        <f t="shared" si="2"/>
        <v>借</v>
      </c>
      <c r="G184" s="64">
        <f>SUM(D$6:E184)</f>
        <v>355166156</v>
      </c>
      <c r="H184" s="61"/>
      <c r="I184" s="61" t="s">
        <v>926</v>
      </c>
      <c r="J184" s="61" t="s">
        <v>114</v>
      </c>
      <c r="K184" s="64">
        <v>90000</v>
      </c>
      <c r="L184" s="61"/>
      <c r="M184" s="65" t="s">
        <v>224</v>
      </c>
      <c r="N184" s="61"/>
      <c r="O184" s="61">
        <v>7751</v>
      </c>
      <c r="P184" s="61"/>
      <c r="Q184" s="61"/>
      <c r="R184" s="61">
        <v>547214</v>
      </c>
      <c r="S184" s="66" t="s">
        <v>783</v>
      </c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 s="61" t="s">
        <v>856</v>
      </c>
      <c r="B185" s="62">
        <v>46112</v>
      </c>
      <c r="C185" s="63" t="s">
        <v>3021</v>
      </c>
      <c r="D185" s="67">
        <v>1245</v>
      </c>
      <c r="E185" s="67"/>
      <c r="F185" s="61" t="str">
        <f t="shared" si="2"/>
        <v>借</v>
      </c>
      <c r="G185" s="64">
        <f>SUM(D$6:E185)</f>
        <v>355167401</v>
      </c>
      <c r="H185" s="61"/>
      <c r="I185" s="61" t="s">
        <v>3022</v>
      </c>
      <c r="J185" s="61" t="s">
        <v>114</v>
      </c>
      <c r="K185" s="64">
        <v>1245</v>
      </c>
      <c r="L185" s="61"/>
      <c r="M185" s="65" t="s">
        <v>224</v>
      </c>
      <c r="N185" s="61"/>
      <c r="O185" s="61"/>
      <c r="P185" s="61"/>
      <c r="Q185" s="61"/>
      <c r="R185" s="61">
        <v>547215</v>
      </c>
      <c r="S185" s="66" t="s">
        <v>1002</v>
      </c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 s="61" t="s">
        <v>856</v>
      </c>
      <c r="B186" s="62">
        <v>46113</v>
      </c>
      <c r="C186" s="63" t="s">
        <v>3023</v>
      </c>
      <c r="D186" s="67">
        <v>273000</v>
      </c>
      <c r="E186" s="67"/>
      <c r="F186" s="61" t="str">
        <f t="shared" si="2"/>
        <v>借</v>
      </c>
      <c r="G186" s="64">
        <f>SUM(D$6:E186)</f>
        <v>355440401</v>
      </c>
      <c r="H186" s="61"/>
      <c r="I186" s="61" t="s">
        <v>926</v>
      </c>
      <c r="J186" s="61" t="s">
        <v>114</v>
      </c>
      <c r="K186" s="64">
        <v>273000</v>
      </c>
      <c r="L186" s="61"/>
      <c r="M186" s="65" t="s">
        <v>224</v>
      </c>
      <c r="N186" s="61"/>
      <c r="O186" s="61" t="s">
        <v>3024</v>
      </c>
      <c r="P186" s="61"/>
      <c r="Q186" s="61"/>
      <c r="R186" s="61">
        <v>547670</v>
      </c>
      <c r="S186" s="66" t="s">
        <v>783</v>
      </c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 s="61" t="s">
        <v>856</v>
      </c>
      <c r="B187" s="62">
        <v>46113</v>
      </c>
      <c r="C187" s="63" t="s">
        <v>3025</v>
      </c>
      <c r="D187" s="67">
        <v>203184</v>
      </c>
      <c r="E187" s="67"/>
      <c r="F187" s="61" t="str">
        <f t="shared" si="2"/>
        <v>借</v>
      </c>
      <c r="G187" s="64">
        <f>SUM(D$6:E187)</f>
        <v>355643585</v>
      </c>
      <c r="H187" s="61"/>
      <c r="I187" s="61" t="s">
        <v>926</v>
      </c>
      <c r="J187" s="61" t="s">
        <v>114</v>
      </c>
      <c r="K187" s="64">
        <v>203184</v>
      </c>
      <c r="L187" s="61"/>
      <c r="M187" s="65" t="s">
        <v>224</v>
      </c>
      <c r="N187" s="61"/>
      <c r="O187" s="61" t="s">
        <v>3026</v>
      </c>
      <c r="P187" s="61"/>
      <c r="Q187" s="61"/>
      <c r="R187" s="61">
        <v>547670</v>
      </c>
      <c r="S187" s="66" t="s">
        <v>783</v>
      </c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 s="61" t="s">
        <v>856</v>
      </c>
      <c r="B188" s="62">
        <v>46113</v>
      </c>
      <c r="C188" s="63" t="s">
        <v>3027</v>
      </c>
      <c r="D188" s="67">
        <v>18496</v>
      </c>
      <c r="E188" s="67"/>
      <c r="F188" s="61" t="str">
        <f t="shared" si="2"/>
        <v>借</v>
      </c>
      <c r="G188" s="64">
        <f>SUM(D$6:E188)</f>
        <v>355662081</v>
      </c>
      <c r="H188" s="61"/>
      <c r="I188" s="61" t="s">
        <v>926</v>
      </c>
      <c r="J188" s="61" t="s">
        <v>114</v>
      </c>
      <c r="K188" s="64">
        <v>18496</v>
      </c>
      <c r="L188" s="61"/>
      <c r="M188" s="65" t="s">
        <v>224</v>
      </c>
      <c r="N188" s="61"/>
      <c r="O188" s="61" t="s">
        <v>3028</v>
      </c>
      <c r="P188" s="61"/>
      <c r="Q188" s="61"/>
      <c r="R188" s="61">
        <v>547670</v>
      </c>
      <c r="S188" s="66" t="s">
        <v>783</v>
      </c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 s="61" t="s">
        <v>856</v>
      </c>
      <c r="B189" s="62">
        <v>46113</v>
      </c>
      <c r="C189" s="63" t="s">
        <v>3029</v>
      </c>
      <c r="D189" s="67">
        <v>132273</v>
      </c>
      <c r="E189" s="67"/>
      <c r="F189" s="61" t="str">
        <f t="shared" si="2"/>
        <v>借</v>
      </c>
      <c r="G189" s="64">
        <f>SUM(D$6:E189)</f>
        <v>355794354</v>
      </c>
      <c r="H189" s="61"/>
      <c r="I189" s="61" t="s">
        <v>926</v>
      </c>
      <c r="J189" s="61" t="s">
        <v>114</v>
      </c>
      <c r="K189" s="64">
        <v>132273</v>
      </c>
      <c r="L189" s="61"/>
      <c r="M189" s="65" t="s">
        <v>224</v>
      </c>
      <c r="N189" s="61"/>
      <c r="O189" s="61" t="s">
        <v>3030</v>
      </c>
      <c r="P189" s="61"/>
      <c r="Q189" s="61"/>
      <c r="R189" s="61">
        <v>547670</v>
      </c>
      <c r="S189" s="66" t="s">
        <v>783</v>
      </c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 s="61" t="s">
        <v>856</v>
      </c>
      <c r="B190" s="62">
        <v>46113</v>
      </c>
      <c r="C190" s="63" t="s">
        <v>3031</v>
      </c>
      <c r="D190" s="67">
        <v>53500</v>
      </c>
      <c r="E190" s="67"/>
      <c r="F190" s="61" t="str">
        <f t="shared" si="2"/>
        <v>借</v>
      </c>
      <c r="G190" s="64">
        <f>SUM(D$6:E190)</f>
        <v>355847854</v>
      </c>
      <c r="H190" s="61"/>
      <c r="I190" s="61" t="s">
        <v>926</v>
      </c>
      <c r="J190" s="61" t="s">
        <v>114</v>
      </c>
      <c r="K190" s="64">
        <v>53500</v>
      </c>
      <c r="L190" s="61"/>
      <c r="M190" s="65" t="s">
        <v>224</v>
      </c>
      <c r="N190" s="61"/>
      <c r="O190" s="61">
        <v>1445</v>
      </c>
      <c r="P190" s="61"/>
      <c r="Q190" s="61"/>
      <c r="R190" s="61">
        <v>547670</v>
      </c>
      <c r="S190" s="66" t="s">
        <v>783</v>
      </c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 s="61" t="s">
        <v>856</v>
      </c>
      <c r="B191" s="62">
        <v>46113</v>
      </c>
      <c r="C191" s="63" t="s">
        <v>3032</v>
      </c>
      <c r="D191" s="67">
        <v>135000</v>
      </c>
      <c r="E191" s="67"/>
      <c r="F191" s="61" t="str">
        <f t="shared" si="2"/>
        <v>借</v>
      </c>
      <c r="G191" s="64">
        <f>SUM(D$6:E191)</f>
        <v>355982854</v>
      </c>
      <c r="H191" s="61"/>
      <c r="I191" s="61" t="s">
        <v>926</v>
      </c>
      <c r="J191" s="61" t="s">
        <v>114</v>
      </c>
      <c r="K191" s="64">
        <v>135000</v>
      </c>
      <c r="L191" s="61"/>
      <c r="M191" s="65" t="s">
        <v>224</v>
      </c>
      <c r="N191" s="61"/>
      <c r="O191" s="61">
        <v>2065</v>
      </c>
      <c r="P191" s="61"/>
      <c r="Q191" s="61"/>
      <c r="R191" s="61">
        <v>547670</v>
      </c>
      <c r="S191" s="66" t="s">
        <v>783</v>
      </c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 s="61" t="s">
        <v>856</v>
      </c>
      <c r="B192" s="62">
        <v>46113</v>
      </c>
      <c r="C192" s="63" t="s">
        <v>3033</v>
      </c>
      <c r="D192" s="67">
        <v>214240</v>
      </c>
      <c r="E192" s="67"/>
      <c r="F192" s="61" t="str">
        <f t="shared" si="2"/>
        <v>借</v>
      </c>
      <c r="G192" s="64">
        <f>SUM(D$6:E192)</f>
        <v>356197094</v>
      </c>
      <c r="H192" s="61"/>
      <c r="I192" s="61" t="s">
        <v>926</v>
      </c>
      <c r="J192" s="61" t="s">
        <v>114</v>
      </c>
      <c r="K192" s="64">
        <v>214240</v>
      </c>
      <c r="L192" s="61"/>
      <c r="M192" s="65" t="s">
        <v>224</v>
      </c>
      <c r="N192" s="61"/>
      <c r="O192" s="61">
        <v>2611</v>
      </c>
      <c r="P192" s="61"/>
      <c r="Q192" s="61"/>
      <c r="R192" s="61">
        <v>547670</v>
      </c>
      <c r="S192" s="66" t="s">
        <v>783</v>
      </c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 s="61" t="s">
        <v>856</v>
      </c>
      <c r="B193" s="62">
        <v>46113</v>
      </c>
      <c r="C193" s="63" t="s">
        <v>3034</v>
      </c>
      <c r="D193" s="67">
        <v>175500</v>
      </c>
      <c r="E193" s="67"/>
      <c r="F193" s="61" t="str">
        <f t="shared" si="2"/>
        <v>借</v>
      </c>
      <c r="G193" s="64">
        <f>SUM(D$6:E193)</f>
        <v>356372594</v>
      </c>
      <c r="H193" s="61"/>
      <c r="I193" s="61" t="s">
        <v>926</v>
      </c>
      <c r="J193" s="61" t="s">
        <v>114</v>
      </c>
      <c r="K193" s="64">
        <v>175500</v>
      </c>
      <c r="L193" s="61"/>
      <c r="M193" s="65" t="s">
        <v>224</v>
      </c>
      <c r="N193" s="61"/>
      <c r="O193" s="61">
        <v>4760</v>
      </c>
      <c r="P193" s="61"/>
      <c r="Q193" s="61"/>
      <c r="R193" s="61">
        <v>547670</v>
      </c>
      <c r="S193" s="66" t="s">
        <v>783</v>
      </c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 s="61" t="s">
        <v>856</v>
      </c>
      <c r="B194" s="62">
        <v>46113</v>
      </c>
      <c r="C194" s="63" t="s">
        <v>3035</v>
      </c>
      <c r="D194" s="67">
        <v>2268000</v>
      </c>
      <c r="E194" s="67"/>
      <c r="F194" s="61" t="str">
        <f t="shared" si="2"/>
        <v>借</v>
      </c>
      <c r="G194" s="64">
        <f>SUM(D$6:E194)</f>
        <v>358640594</v>
      </c>
      <c r="H194" s="61"/>
      <c r="I194" s="61" t="s">
        <v>926</v>
      </c>
      <c r="J194" s="61" t="s">
        <v>114</v>
      </c>
      <c r="K194" s="64">
        <v>2268000</v>
      </c>
      <c r="L194" s="61"/>
      <c r="M194" s="65" t="s">
        <v>224</v>
      </c>
      <c r="N194" s="61"/>
      <c r="O194" s="61">
        <v>4770</v>
      </c>
      <c r="P194" s="61"/>
      <c r="Q194" s="61"/>
      <c r="R194" s="61">
        <v>547670</v>
      </c>
      <c r="S194" s="66" t="s">
        <v>783</v>
      </c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 s="61" t="s">
        <v>856</v>
      </c>
      <c r="B195" s="62">
        <v>46113</v>
      </c>
      <c r="C195" s="63" t="s">
        <v>3036</v>
      </c>
      <c r="D195" s="67">
        <v>90000</v>
      </c>
      <c r="E195" s="67"/>
      <c r="F195" s="61" t="str">
        <f t="shared" si="2"/>
        <v>借</v>
      </c>
      <c r="G195" s="64">
        <f>SUM(D$6:E195)</f>
        <v>358730594</v>
      </c>
      <c r="H195" s="61"/>
      <c r="I195" s="61" t="s">
        <v>926</v>
      </c>
      <c r="J195" s="61" t="s">
        <v>114</v>
      </c>
      <c r="K195" s="64">
        <v>90000</v>
      </c>
      <c r="L195" s="61"/>
      <c r="M195" s="65" t="s">
        <v>224</v>
      </c>
      <c r="N195" s="61"/>
      <c r="O195" s="61">
        <v>5007</v>
      </c>
      <c r="P195" s="61"/>
      <c r="Q195" s="61"/>
      <c r="R195" s="61">
        <v>547670</v>
      </c>
      <c r="S195" s="66" t="s">
        <v>783</v>
      </c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 s="61" t="s">
        <v>856</v>
      </c>
      <c r="B196" s="62">
        <v>46113</v>
      </c>
      <c r="C196" s="63" t="s">
        <v>3037</v>
      </c>
      <c r="D196" s="67">
        <v>87830</v>
      </c>
      <c r="E196" s="67"/>
      <c r="F196" s="61" t="str">
        <f t="shared" si="2"/>
        <v>借</v>
      </c>
      <c r="G196" s="64">
        <f>SUM(D$6:E196)</f>
        <v>358818424</v>
      </c>
      <c r="H196" s="61"/>
      <c r="I196" s="61" t="s">
        <v>926</v>
      </c>
      <c r="J196" s="61" t="s">
        <v>114</v>
      </c>
      <c r="K196" s="64">
        <v>87830</v>
      </c>
      <c r="L196" s="61"/>
      <c r="M196" s="65" t="s">
        <v>224</v>
      </c>
      <c r="N196" s="61"/>
      <c r="O196" s="61">
        <v>5278</v>
      </c>
      <c r="P196" s="61"/>
      <c r="Q196" s="61"/>
      <c r="R196" s="61">
        <v>547670</v>
      </c>
      <c r="S196" s="66" t="s">
        <v>783</v>
      </c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 s="61" t="s">
        <v>856</v>
      </c>
      <c r="B197" s="62">
        <v>46113</v>
      </c>
      <c r="C197" s="63" t="s">
        <v>3038</v>
      </c>
      <c r="D197" s="67">
        <v>450180</v>
      </c>
      <c r="E197" s="67"/>
      <c r="F197" s="61" t="str">
        <f t="shared" si="2"/>
        <v>借</v>
      </c>
      <c r="G197" s="64">
        <f>SUM(D$6:E197)</f>
        <v>359268604</v>
      </c>
      <c r="H197" s="61"/>
      <c r="I197" s="61" t="s">
        <v>926</v>
      </c>
      <c r="J197" s="61" t="s">
        <v>114</v>
      </c>
      <c r="K197" s="64">
        <v>450180</v>
      </c>
      <c r="L197" s="61"/>
      <c r="M197" s="65" t="s">
        <v>224</v>
      </c>
      <c r="N197" s="61"/>
      <c r="O197" s="61">
        <v>6148</v>
      </c>
      <c r="P197" s="61"/>
      <c r="Q197" s="61"/>
      <c r="R197" s="61">
        <v>547670</v>
      </c>
      <c r="S197" s="66" t="s">
        <v>783</v>
      </c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 s="61" t="s">
        <v>856</v>
      </c>
      <c r="B198" s="62">
        <v>46113</v>
      </c>
      <c r="C198" s="63" t="s">
        <v>3039</v>
      </c>
      <c r="D198" s="67">
        <v>594000</v>
      </c>
      <c r="E198" s="67"/>
      <c r="F198" s="61" t="str">
        <f t="shared" si="2"/>
        <v>借</v>
      </c>
      <c r="G198" s="64">
        <f>SUM(D$6:E198)</f>
        <v>359862604</v>
      </c>
      <c r="H198" s="61"/>
      <c r="I198" s="61" t="s">
        <v>926</v>
      </c>
      <c r="J198" s="61" t="s">
        <v>114</v>
      </c>
      <c r="K198" s="64">
        <v>594000</v>
      </c>
      <c r="L198" s="61"/>
      <c r="M198" s="65" t="s">
        <v>224</v>
      </c>
      <c r="N198" s="61"/>
      <c r="O198" s="61">
        <v>6291</v>
      </c>
      <c r="P198" s="61"/>
      <c r="Q198" s="61"/>
      <c r="R198" s="61">
        <v>547670</v>
      </c>
      <c r="S198" s="66" t="s">
        <v>783</v>
      </c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 s="61" t="s">
        <v>856</v>
      </c>
      <c r="B199" s="62">
        <v>46113</v>
      </c>
      <c r="C199" s="63" t="s">
        <v>3040</v>
      </c>
      <c r="D199" s="67">
        <v>155000</v>
      </c>
      <c r="E199" s="67"/>
      <c r="F199" s="61" t="str">
        <f t="shared" ref="F199:F224" si="3">IF(G199&gt;0,"借","貸")</f>
        <v>借</v>
      </c>
      <c r="G199" s="64">
        <f>SUM(D$6:E199)</f>
        <v>360017604</v>
      </c>
      <c r="H199" s="61"/>
      <c r="I199" s="61" t="s">
        <v>926</v>
      </c>
      <c r="J199" s="61" t="s">
        <v>114</v>
      </c>
      <c r="K199" s="64">
        <v>155000</v>
      </c>
      <c r="L199" s="61"/>
      <c r="M199" s="65" t="s">
        <v>224</v>
      </c>
      <c r="N199" s="61"/>
      <c r="O199" s="61">
        <v>9911</v>
      </c>
      <c r="P199" s="61"/>
      <c r="Q199" s="61"/>
      <c r="R199" s="61">
        <v>547670</v>
      </c>
      <c r="S199" s="66" t="s">
        <v>783</v>
      </c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 s="61" t="s">
        <v>856</v>
      </c>
      <c r="B200" s="62">
        <v>46114</v>
      </c>
      <c r="C200" s="63" t="s">
        <v>3041</v>
      </c>
      <c r="D200" s="67">
        <v>284722</v>
      </c>
      <c r="E200" s="67"/>
      <c r="F200" s="61" t="str">
        <f t="shared" si="3"/>
        <v>借</v>
      </c>
      <c r="G200" s="64">
        <f>SUM(D$6:E200)</f>
        <v>360302326</v>
      </c>
      <c r="H200" s="61"/>
      <c r="I200" s="61" t="s">
        <v>926</v>
      </c>
      <c r="J200" s="61" t="s">
        <v>114</v>
      </c>
      <c r="K200" s="64">
        <v>284722</v>
      </c>
      <c r="L200" s="61"/>
      <c r="M200" s="65" t="s">
        <v>224</v>
      </c>
      <c r="N200" s="61"/>
      <c r="O200" s="61">
        <v>946</v>
      </c>
      <c r="P200" s="61"/>
      <c r="Q200" s="61"/>
      <c r="R200" s="61">
        <v>548462</v>
      </c>
      <c r="S200" s="66" t="s">
        <v>783</v>
      </c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 s="61" t="s">
        <v>856</v>
      </c>
      <c r="B201" s="62">
        <v>46114</v>
      </c>
      <c r="C201" s="63" t="s">
        <v>3042</v>
      </c>
      <c r="D201" s="67">
        <v>3699650</v>
      </c>
      <c r="E201" s="67"/>
      <c r="F201" s="61" t="str">
        <f t="shared" si="3"/>
        <v>借</v>
      </c>
      <c r="G201" s="64">
        <f>SUM(D$6:E201)</f>
        <v>364001976</v>
      </c>
      <c r="H201" s="61"/>
      <c r="I201" s="61" t="s">
        <v>926</v>
      </c>
      <c r="J201" s="61" t="s">
        <v>114</v>
      </c>
      <c r="K201" s="64">
        <v>3699650</v>
      </c>
      <c r="L201" s="61"/>
      <c r="M201" s="65" t="s">
        <v>224</v>
      </c>
      <c r="N201" s="61"/>
      <c r="O201" s="61" t="s">
        <v>1295</v>
      </c>
      <c r="P201" s="61"/>
      <c r="Q201" s="61"/>
      <c r="R201" s="61">
        <v>548462</v>
      </c>
      <c r="S201" s="66" t="s">
        <v>783</v>
      </c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 s="61" t="s">
        <v>856</v>
      </c>
      <c r="B202" s="62">
        <v>46114</v>
      </c>
      <c r="C202" s="63" t="s">
        <v>3043</v>
      </c>
      <c r="D202" s="67">
        <v>206400</v>
      </c>
      <c r="E202" s="67"/>
      <c r="F202" s="61" t="str">
        <f t="shared" si="3"/>
        <v>借</v>
      </c>
      <c r="G202" s="64">
        <f>SUM(D$6:E202)</f>
        <v>364208376</v>
      </c>
      <c r="H202" s="61"/>
      <c r="I202" s="61" t="s">
        <v>926</v>
      </c>
      <c r="J202" s="61" t="s">
        <v>114</v>
      </c>
      <c r="K202" s="64">
        <v>206400</v>
      </c>
      <c r="L202" s="61"/>
      <c r="M202" s="65" t="s">
        <v>224</v>
      </c>
      <c r="N202" s="61"/>
      <c r="O202" s="61" t="s">
        <v>3044</v>
      </c>
      <c r="P202" s="61"/>
      <c r="Q202" s="61"/>
      <c r="R202" s="61">
        <v>548462</v>
      </c>
      <c r="S202" s="66" t="s">
        <v>783</v>
      </c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 s="61" t="s">
        <v>856</v>
      </c>
      <c r="B203" s="62">
        <v>46114</v>
      </c>
      <c r="C203" s="63" t="s">
        <v>3045</v>
      </c>
      <c r="D203" s="67">
        <v>3465745</v>
      </c>
      <c r="E203" s="67"/>
      <c r="F203" s="61" t="str">
        <f t="shared" si="3"/>
        <v>借</v>
      </c>
      <c r="G203" s="64">
        <f>SUM(D$6:E203)</f>
        <v>367674121</v>
      </c>
      <c r="H203" s="61"/>
      <c r="I203" s="61" t="s">
        <v>926</v>
      </c>
      <c r="J203" s="61" t="s">
        <v>114</v>
      </c>
      <c r="K203" s="64">
        <v>3465745</v>
      </c>
      <c r="L203" s="61"/>
      <c r="M203" s="65" t="s">
        <v>224</v>
      </c>
      <c r="N203" s="61"/>
      <c r="O203" s="61">
        <v>4966</v>
      </c>
      <c r="P203" s="61"/>
      <c r="Q203" s="61"/>
      <c r="R203" s="61">
        <v>548462</v>
      </c>
      <c r="S203" s="66" t="s">
        <v>783</v>
      </c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 s="61" t="s">
        <v>856</v>
      </c>
      <c r="B204" s="62">
        <v>46120</v>
      </c>
      <c r="C204" s="63" t="s">
        <v>3046</v>
      </c>
      <c r="D204" s="67">
        <v>63200</v>
      </c>
      <c r="E204" s="67"/>
      <c r="F204" s="61" t="str">
        <f t="shared" si="3"/>
        <v>借</v>
      </c>
      <c r="G204" s="64">
        <f>SUM(D$6:E204)</f>
        <v>367737321</v>
      </c>
      <c r="H204" s="61"/>
      <c r="I204" s="61" t="s">
        <v>926</v>
      </c>
      <c r="J204" s="61" t="s">
        <v>114</v>
      </c>
      <c r="K204" s="64">
        <v>63200</v>
      </c>
      <c r="L204" s="61"/>
      <c r="M204" s="65" t="s">
        <v>224</v>
      </c>
      <c r="N204" s="61"/>
      <c r="O204" s="61">
        <v>3164</v>
      </c>
      <c r="P204" s="61"/>
      <c r="Q204" s="61"/>
      <c r="R204" s="61">
        <v>548465</v>
      </c>
      <c r="S204" s="66" t="s">
        <v>783</v>
      </c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 s="61" t="s">
        <v>856</v>
      </c>
      <c r="B205" s="62">
        <v>46120</v>
      </c>
      <c r="C205" s="63" t="s">
        <v>3047</v>
      </c>
      <c r="D205" s="67">
        <v>202800</v>
      </c>
      <c r="E205" s="67"/>
      <c r="F205" s="61" t="str">
        <f t="shared" si="3"/>
        <v>借</v>
      </c>
      <c r="G205" s="64">
        <f>SUM(D$6:E205)</f>
        <v>367940121</v>
      </c>
      <c r="H205" s="61"/>
      <c r="I205" s="61" t="s">
        <v>926</v>
      </c>
      <c r="J205" s="61" t="s">
        <v>114</v>
      </c>
      <c r="K205" s="64">
        <v>202800</v>
      </c>
      <c r="L205" s="61"/>
      <c r="M205" s="65" t="s">
        <v>224</v>
      </c>
      <c r="N205" s="61"/>
      <c r="O205" s="61">
        <v>4207</v>
      </c>
      <c r="P205" s="61"/>
      <c r="Q205" s="61"/>
      <c r="R205" s="61">
        <v>548465</v>
      </c>
      <c r="S205" s="66" t="s">
        <v>783</v>
      </c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 s="61" t="s">
        <v>856</v>
      </c>
      <c r="B206" s="62">
        <v>46121</v>
      </c>
      <c r="C206" s="63" t="s">
        <v>3048</v>
      </c>
      <c r="D206" s="67">
        <v>2907180</v>
      </c>
      <c r="E206" s="67"/>
      <c r="F206" s="61" t="str">
        <f t="shared" si="3"/>
        <v>借</v>
      </c>
      <c r="G206" s="64">
        <f>SUM(D$6:E206)</f>
        <v>370847301</v>
      </c>
      <c r="H206" s="61"/>
      <c r="I206" s="61" t="s">
        <v>926</v>
      </c>
      <c r="J206" s="61" t="s">
        <v>114</v>
      </c>
      <c r="K206" s="64">
        <v>2907180</v>
      </c>
      <c r="L206" s="61"/>
      <c r="M206" s="65" t="s">
        <v>224</v>
      </c>
      <c r="N206" s="61"/>
      <c r="O206" s="61">
        <v>940</v>
      </c>
      <c r="P206" s="61"/>
      <c r="Q206" s="61"/>
      <c r="R206" s="61">
        <v>548511</v>
      </c>
      <c r="S206" s="66" t="s">
        <v>783</v>
      </c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 s="61" t="s">
        <v>856</v>
      </c>
      <c r="B207" s="62">
        <v>46121</v>
      </c>
      <c r="C207" s="63" t="s">
        <v>3049</v>
      </c>
      <c r="D207" s="67">
        <v>32000</v>
      </c>
      <c r="E207" s="67"/>
      <c r="F207" s="61" t="str">
        <f t="shared" si="3"/>
        <v>借</v>
      </c>
      <c r="G207" s="64">
        <f>SUM(D$6:E207)</f>
        <v>370879301</v>
      </c>
      <c r="H207" s="61"/>
      <c r="I207" s="61" t="s">
        <v>926</v>
      </c>
      <c r="J207" s="61" t="s">
        <v>114</v>
      </c>
      <c r="K207" s="64">
        <v>32000</v>
      </c>
      <c r="L207" s="61"/>
      <c r="M207" s="65" t="s">
        <v>224</v>
      </c>
      <c r="N207" s="61"/>
      <c r="O207" s="61">
        <v>2070</v>
      </c>
      <c r="P207" s="61"/>
      <c r="Q207" s="61"/>
      <c r="R207" s="61">
        <v>548511</v>
      </c>
      <c r="S207" s="66" t="s">
        <v>783</v>
      </c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 s="61" t="s">
        <v>856</v>
      </c>
      <c r="B208" s="62">
        <v>46121</v>
      </c>
      <c r="C208" s="63" t="s">
        <v>3050</v>
      </c>
      <c r="D208" s="67">
        <v>1426000</v>
      </c>
      <c r="E208" s="67"/>
      <c r="F208" s="61" t="str">
        <f t="shared" si="3"/>
        <v>借</v>
      </c>
      <c r="G208" s="64">
        <f>SUM(D$6:E208)</f>
        <v>372305301</v>
      </c>
      <c r="H208" s="61"/>
      <c r="I208" s="61" t="s">
        <v>926</v>
      </c>
      <c r="J208" s="61" t="s">
        <v>114</v>
      </c>
      <c r="K208" s="64">
        <v>1426000</v>
      </c>
      <c r="L208" s="61"/>
      <c r="M208" s="65" t="s">
        <v>224</v>
      </c>
      <c r="N208" s="61"/>
      <c r="O208" s="61">
        <v>2535</v>
      </c>
      <c r="P208" s="61"/>
      <c r="Q208" s="61"/>
      <c r="R208" s="61">
        <v>548511</v>
      </c>
      <c r="S208" s="66" t="s">
        <v>783</v>
      </c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 s="61" t="s">
        <v>856</v>
      </c>
      <c r="B209" s="62">
        <v>46121</v>
      </c>
      <c r="C209" s="63" t="s">
        <v>3051</v>
      </c>
      <c r="D209" s="67">
        <v>315000</v>
      </c>
      <c r="E209" s="67"/>
      <c r="F209" s="61" t="str">
        <f t="shared" si="3"/>
        <v>借</v>
      </c>
      <c r="G209" s="64">
        <f>SUM(D$6:E209)</f>
        <v>372620301</v>
      </c>
      <c r="H209" s="61"/>
      <c r="I209" s="61" t="s">
        <v>926</v>
      </c>
      <c r="J209" s="61" t="s">
        <v>114</v>
      </c>
      <c r="K209" s="64">
        <v>315000</v>
      </c>
      <c r="L209" s="61"/>
      <c r="M209" s="65" t="s">
        <v>224</v>
      </c>
      <c r="N209" s="61"/>
      <c r="O209" s="61">
        <v>2732</v>
      </c>
      <c r="P209" s="61"/>
      <c r="Q209" s="61"/>
      <c r="R209" s="61">
        <v>548511</v>
      </c>
      <c r="S209" s="66" t="s">
        <v>783</v>
      </c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 s="61" t="s">
        <v>856</v>
      </c>
      <c r="B210" s="62">
        <v>46121</v>
      </c>
      <c r="C210" s="63" t="s">
        <v>3052</v>
      </c>
      <c r="D210" s="67">
        <v>44988</v>
      </c>
      <c r="E210" s="67"/>
      <c r="F210" s="61" t="str">
        <f t="shared" si="3"/>
        <v>借</v>
      </c>
      <c r="G210" s="64">
        <f>SUM(D$6:E210)</f>
        <v>372665289</v>
      </c>
      <c r="H210" s="61"/>
      <c r="I210" s="61" t="s">
        <v>926</v>
      </c>
      <c r="J210" s="61" t="s">
        <v>114</v>
      </c>
      <c r="K210" s="64">
        <v>44988</v>
      </c>
      <c r="L210" s="61"/>
      <c r="M210" s="65" t="s">
        <v>224</v>
      </c>
      <c r="N210" s="61"/>
      <c r="O210" s="61">
        <v>2751</v>
      </c>
      <c r="P210" s="61"/>
      <c r="Q210" s="61"/>
      <c r="R210" s="61">
        <v>548511</v>
      </c>
      <c r="S210" s="66" t="s">
        <v>783</v>
      </c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 s="61" t="s">
        <v>856</v>
      </c>
      <c r="B211" s="62">
        <v>46121</v>
      </c>
      <c r="C211" s="63" t="s">
        <v>3053</v>
      </c>
      <c r="D211" s="67">
        <v>26000</v>
      </c>
      <c r="E211" s="67"/>
      <c r="F211" s="61" t="str">
        <f t="shared" si="3"/>
        <v>借</v>
      </c>
      <c r="G211" s="64">
        <f>SUM(D$6:E211)</f>
        <v>372691289</v>
      </c>
      <c r="H211" s="61"/>
      <c r="I211" s="61" t="s">
        <v>926</v>
      </c>
      <c r="J211" s="61" t="s">
        <v>114</v>
      </c>
      <c r="K211" s="64">
        <v>26000</v>
      </c>
      <c r="L211" s="61"/>
      <c r="M211" s="65" t="s">
        <v>224</v>
      </c>
      <c r="N211" s="61"/>
      <c r="O211" s="61">
        <v>2756</v>
      </c>
      <c r="P211" s="61"/>
      <c r="Q211" s="61"/>
      <c r="R211" s="61">
        <v>548511</v>
      </c>
      <c r="S211" s="66" t="s">
        <v>783</v>
      </c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 s="61" t="s">
        <v>856</v>
      </c>
      <c r="B212" s="62">
        <v>46121</v>
      </c>
      <c r="C212" s="63" t="s">
        <v>3054</v>
      </c>
      <c r="D212" s="67">
        <v>1416436</v>
      </c>
      <c r="E212" s="67"/>
      <c r="F212" s="61" t="str">
        <f t="shared" si="3"/>
        <v>借</v>
      </c>
      <c r="G212" s="64">
        <f>SUM(D$6:E212)</f>
        <v>374107725</v>
      </c>
      <c r="H212" s="61"/>
      <c r="I212" s="61" t="s">
        <v>926</v>
      </c>
      <c r="J212" s="61" t="s">
        <v>114</v>
      </c>
      <c r="K212" s="64">
        <v>1416436</v>
      </c>
      <c r="L212" s="61"/>
      <c r="M212" s="65" t="s">
        <v>224</v>
      </c>
      <c r="N212" s="61"/>
      <c r="O212" s="61">
        <v>3004</v>
      </c>
      <c r="P212" s="61"/>
      <c r="Q212" s="61"/>
      <c r="R212" s="61">
        <v>548511</v>
      </c>
      <c r="S212" s="66" t="s">
        <v>783</v>
      </c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 s="61" t="s">
        <v>856</v>
      </c>
      <c r="B213" s="62">
        <v>46121</v>
      </c>
      <c r="C213" s="63" t="s">
        <v>3055</v>
      </c>
      <c r="D213" s="67">
        <v>21495</v>
      </c>
      <c r="E213" s="67"/>
      <c r="F213" s="61" t="str">
        <f t="shared" si="3"/>
        <v>借</v>
      </c>
      <c r="G213" s="64">
        <f>SUM(D$6:E213)</f>
        <v>374129220</v>
      </c>
      <c r="H213" s="61"/>
      <c r="I213" s="61" t="s">
        <v>926</v>
      </c>
      <c r="J213" s="61" t="s">
        <v>114</v>
      </c>
      <c r="K213" s="64">
        <v>21495</v>
      </c>
      <c r="L213" s="61"/>
      <c r="M213" s="65" t="s">
        <v>224</v>
      </c>
      <c r="N213" s="61"/>
      <c r="O213" s="61">
        <v>4542</v>
      </c>
      <c r="P213" s="61"/>
      <c r="Q213" s="61"/>
      <c r="R213" s="61">
        <v>548511</v>
      </c>
      <c r="S213" s="66" t="s">
        <v>783</v>
      </c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 s="61" t="s">
        <v>856</v>
      </c>
      <c r="B214" s="62">
        <v>46121</v>
      </c>
      <c r="C214" s="63" t="s">
        <v>3056</v>
      </c>
      <c r="D214" s="67">
        <v>228035</v>
      </c>
      <c r="E214" s="67"/>
      <c r="F214" s="61" t="str">
        <f t="shared" si="3"/>
        <v>借</v>
      </c>
      <c r="G214" s="64">
        <f>SUM(D$6:E214)</f>
        <v>374357255</v>
      </c>
      <c r="H214" s="61"/>
      <c r="I214" s="61" t="s">
        <v>926</v>
      </c>
      <c r="J214" s="61" t="s">
        <v>114</v>
      </c>
      <c r="K214" s="64">
        <v>228035</v>
      </c>
      <c r="L214" s="61"/>
      <c r="M214" s="65" t="s">
        <v>224</v>
      </c>
      <c r="N214" s="61"/>
      <c r="O214" s="61">
        <v>4566</v>
      </c>
      <c r="P214" s="61"/>
      <c r="Q214" s="61"/>
      <c r="R214" s="61">
        <v>548511</v>
      </c>
      <c r="S214" s="66" t="s">
        <v>783</v>
      </c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 s="61" t="s">
        <v>856</v>
      </c>
      <c r="B215" s="62">
        <v>46121</v>
      </c>
      <c r="C215" s="63" t="s">
        <v>3057</v>
      </c>
      <c r="D215" s="67">
        <v>3977500</v>
      </c>
      <c r="E215" s="67"/>
      <c r="F215" s="61" t="str">
        <f t="shared" si="3"/>
        <v>借</v>
      </c>
      <c r="G215" s="64">
        <f>SUM(D$6:E215)</f>
        <v>378334755</v>
      </c>
      <c r="H215" s="61"/>
      <c r="I215" s="61" t="s">
        <v>926</v>
      </c>
      <c r="J215" s="61" t="s">
        <v>114</v>
      </c>
      <c r="K215" s="64">
        <v>3977500</v>
      </c>
      <c r="L215" s="61"/>
      <c r="M215" s="65" t="s">
        <v>224</v>
      </c>
      <c r="N215" s="61"/>
      <c r="O215" s="61">
        <v>5388</v>
      </c>
      <c r="P215" s="61"/>
      <c r="Q215" s="61"/>
      <c r="R215" s="61">
        <v>548511</v>
      </c>
      <c r="S215" s="66" t="s">
        <v>783</v>
      </c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 s="61" t="s">
        <v>856</v>
      </c>
      <c r="B216" s="62">
        <v>46121</v>
      </c>
      <c r="C216" s="63" t="s">
        <v>3058</v>
      </c>
      <c r="D216" s="67">
        <v>3240000</v>
      </c>
      <c r="E216" s="67"/>
      <c r="F216" s="61" t="str">
        <f t="shared" si="3"/>
        <v>借</v>
      </c>
      <c r="G216" s="64">
        <f>SUM(D$6:E216)</f>
        <v>381574755</v>
      </c>
      <c r="H216" s="61"/>
      <c r="I216" s="61" t="s">
        <v>926</v>
      </c>
      <c r="J216" s="61" t="s">
        <v>114</v>
      </c>
      <c r="K216" s="64">
        <v>3240000</v>
      </c>
      <c r="L216" s="61"/>
      <c r="M216" s="65" t="s">
        <v>224</v>
      </c>
      <c r="N216" s="61"/>
      <c r="O216" s="61">
        <v>6104</v>
      </c>
      <c r="P216" s="61"/>
      <c r="Q216" s="61"/>
      <c r="R216" s="61">
        <v>548511</v>
      </c>
      <c r="S216" s="66" t="s">
        <v>783</v>
      </c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 s="61" t="s">
        <v>856</v>
      </c>
      <c r="B217" s="62">
        <v>46121</v>
      </c>
      <c r="C217" s="63" t="s">
        <v>3059</v>
      </c>
      <c r="D217" s="67">
        <v>59000</v>
      </c>
      <c r="E217" s="67"/>
      <c r="F217" s="61" t="str">
        <f t="shared" si="3"/>
        <v>借</v>
      </c>
      <c r="G217" s="64">
        <f>SUM(D$6:E217)</f>
        <v>381633755</v>
      </c>
      <c r="H217" s="61"/>
      <c r="I217" s="61" t="s">
        <v>926</v>
      </c>
      <c r="J217" s="61" t="s">
        <v>114</v>
      </c>
      <c r="K217" s="64">
        <v>59000</v>
      </c>
      <c r="L217" s="61"/>
      <c r="M217" s="65" t="s">
        <v>224</v>
      </c>
      <c r="N217" s="61"/>
      <c r="O217" s="61">
        <v>6649</v>
      </c>
      <c r="P217" s="61"/>
      <c r="Q217" s="61"/>
      <c r="R217" s="61">
        <v>548511</v>
      </c>
      <c r="S217" s="66" t="s">
        <v>783</v>
      </c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 s="61" t="s">
        <v>856</v>
      </c>
      <c r="B218" s="62">
        <v>46121</v>
      </c>
      <c r="C218" s="63" t="s">
        <v>3060</v>
      </c>
      <c r="D218" s="67">
        <v>123000</v>
      </c>
      <c r="E218" s="67"/>
      <c r="F218" s="61" t="str">
        <f t="shared" si="3"/>
        <v>借</v>
      </c>
      <c r="G218" s="64">
        <f>SUM(D$6:E218)</f>
        <v>381756755</v>
      </c>
      <c r="H218" s="61"/>
      <c r="I218" s="61" t="s">
        <v>926</v>
      </c>
      <c r="J218" s="61" t="s">
        <v>114</v>
      </c>
      <c r="K218" s="64">
        <v>123000</v>
      </c>
      <c r="L218" s="61"/>
      <c r="M218" s="65" t="s">
        <v>224</v>
      </c>
      <c r="N218" s="61"/>
      <c r="O218" s="61">
        <v>6830</v>
      </c>
      <c r="P218" s="61"/>
      <c r="Q218" s="61"/>
      <c r="R218" s="61">
        <v>548511</v>
      </c>
      <c r="S218" s="66" t="s">
        <v>783</v>
      </c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 s="61" t="s">
        <v>856</v>
      </c>
      <c r="B219" s="62">
        <v>46122</v>
      </c>
      <c r="C219" s="63" t="s">
        <v>3061</v>
      </c>
      <c r="D219" s="67">
        <v>466404</v>
      </c>
      <c r="E219" s="67"/>
      <c r="F219" s="61" t="str">
        <f t="shared" si="3"/>
        <v>借</v>
      </c>
      <c r="G219" s="64">
        <f>SUM(D$6:E219)</f>
        <v>382223159</v>
      </c>
      <c r="H219" s="61"/>
      <c r="I219" s="61" t="s">
        <v>926</v>
      </c>
      <c r="J219" s="61" t="s">
        <v>114</v>
      </c>
      <c r="K219" s="64">
        <v>466404</v>
      </c>
      <c r="L219" s="61"/>
      <c r="M219" s="65" t="s">
        <v>224</v>
      </c>
      <c r="N219" s="61"/>
      <c r="O219" s="61">
        <v>3289</v>
      </c>
      <c r="P219" s="61"/>
      <c r="Q219" s="61"/>
      <c r="R219" s="61">
        <v>548513</v>
      </c>
      <c r="S219" s="66" t="s">
        <v>783</v>
      </c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 s="61" t="s">
        <v>856</v>
      </c>
      <c r="B220" s="62">
        <v>46122</v>
      </c>
      <c r="C220" s="63" t="s">
        <v>3062</v>
      </c>
      <c r="D220" s="67">
        <v>124500</v>
      </c>
      <c r="E220" s="67"/>
      <c r="F220" s="61" t="str">
        <f t="shared" si="3"/>
        <v>借</v>
      </c>
      <c r="G220" s="64">
        <f>SUM(D$6:E220)</f>
        <v>382347659</v>
      </c>
      <c r="H220" s="61"/>
      <c r="I220" s="61" t="s">
        <v>926</v>
      </c>
      <c r="J220" s="61" t="s">
        <v>114</v>
      </c>
      <c r="K220" s="64">
        <v>124500</v>
      </c>
      <c r="L220" s="61"/>
      <c r="M220" s="65" t="s">
        <v>224</v>
      </c>
      <c r="N220" s="61"/>
      <c r="O220" s="61">
        <v>4532</v>
      </c>
      <c r="P220" s="61"/>
      <c r="Q220" s="61"/>
      <c r="R220" s="61">
        <v>548513</v>
      </c>
      <c r="S220" s="66" t="s">
        <v>783</v>
      </c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 s="61" t="s">
        <v>856</v>
      </c>
      <c r="B221" s="62">
        <v>46122</v>
      </c>
      <c r="C221" s="63" t="s">
        <v>3063</v>
      </c>
      <c r="D221" s="67">
        <v>7500</v>
      </c>
      <c r="E221" s="67"/>
      <c r="F221" s="61" t="str">
        <f t="shared" si="3"/>
        <v>借</v>
      </c>
      <c r="G221" s="64">
        <f>SUM(D$6:E221)</f>
        <v>382355159</v>
      </c>
      <c r="H221" s="61"/>
      <c r="I221" s="61" t="s">
        <v>926</v>
      </c>
      <c r="J221" s="61" t="s">
        <v>114</v>
      </c>
      <c r="K221" s="64">
        <v>7500</v>
      </c>
      <c r="L221" s="61"/>
      <c r="M221" s="65" t="s">
        <v>224</v>
      </c>
      <c r="N221" s="61"/>
      <c r="O221" s="61">
        <v>4735</v>
      </c>
      <c r="P221" s="61"/>
      <c r="Q221" s="61"/>
      <c r="R221" s="61">
        <v>548513</v>
      </c>
      <c r="S221" s="66" t="s">
        <v>783</v>
      </c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 s="61" t="s">
        <v>856</v>
      </c>
      <c r="B222" s="62">
        <v>46122</v>
      </c>
      <c r="C222" s="63" t="s">
        <v>3064</v>
      </c>
      <c r="D222" s="67">
        <v>1572000</v>
      </c>
      <c r="E222" s="67"/>
      <c r="F222" s="61" t="str">
        <f t="shared" si="3"/>
        <v>借</v>
      </c>
      <c r="G222" s="64">
        <f>SUM(D$6:E222)</f>
        <v>383927159</v>
      </c>
      <c r="H222" s="61"/>
      <c r="I222" s="61" t="s">
        <v>926</v>
      </c>
      <c r="J222" s="61" t="s">
        <v>114</v>
      </c>
      <c r="K222" s="64">
        <v>1572000</v>
      </c>
      <c r="L222" s="61"/>
      <c r="M222" s="65" t="s">
        <v>224</v>
      </c>
      <c r="N222" s="61"/>
      <c r="O222" s="61">
        <v>6143</v>
      </c>
      <c r="P222" s="61"/>
      <c r="Q222" s="61"/>
      <c r="R222" s="61">
        <v>548513</v>
      </c>
      <c r="S222" s="66" t="s">
        <v>783</v>
      </c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 s="61" t="s">
        <v>856</v>
      </c>
      <c r="B223" s="62">
        <v>46122</v>
      </c>
      <c r="C223" s="63" t="s">
        <v>3065</v>
      </c>
      <c r="D223" s="67">
        <v>261000</v>
      </c>
      <c r="E223" s="67"/>
      <c r="F223" s="61" t="str">
        <f t="shared" si="3"/>
        <v>借</v>
      </c>
      <c r="G223" s="64">
        <f>SUM(D$6:E223)</f>
        <v>384188159</v>
      </c>
      <c r="H223" s="61"/>
      <c r="I223" s="61" t="s">
        <v>926</v>
      </c>
      <c r="J223" s="61" t="s">
        <v>114</v>
      </c>
      <c r="K223" s="64">
        <v>261000</v>
      </c>
      <c r="L223" s="61"/>
      <c r="M223" s="65" t="s">
        <v>224</v>
      </c>
      <c r="N223" s="61"/>
      <c r="O223" s="61">
        <v>6895</v>
      </c>
      <c r="P223" s="61"/>
      <c r="Q223" s="61"/>
      <c r="R223" s="61">
        <v>548513</v>
      </c>
      <c r="S223" s="66" t="s">
        <v>783</v>
      </c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 ht="17.25" thickBot="1">
      <c r="A224" s="44"/>
      <c r="B224" s="44" t="s">
        <v>115</v>
      </c>
      <c r="C224" s="44"/>
      <c r="D224" s="45">
        <f>SUBTOTAL(9,D7:D223)</f>
        <v>384188159</v>
      </c>
      <c r="E224" s="45">
        <f>SUBTOTAL(9,E7:E223)</f>
        <v>0</v>
      </c>
      <c r="F224" s="44" t="str">
        <f t="shared" si="3"/>
        <v>借</v>
      </c>
      <c r="G224" s="46">
        <f>G223</f>
        <v>384188159</v>
      </c>
      <c r="H224" s="44"/>
      <c r="I224" s="44"/>
      <c r="J224" s="44"/>
      <c r="K224" s="47">
        <f>SUBTOTAL(9,K7:K223)</f>
        <v>382119480.96000004</v>
      </c>
      <c r="L224" s="44"/>
      <c r="M224" s="48" t="s">
        <v>117</v>
      </c>
      <c r="N224" s="48" t="str">
        <f>IF(O224&gt;0,"借","貸")</f>
        <v>借</v>
      </c>
      <c r="O224" s="49">
        <v>384188159</v>
      </c>
      <c r="P224" s="44" t="s">
        <v>118</v>
      </c>
      <c r="Q224" s="49">
        <f>O224-G224</f>
        <v>0</v>
      </c>
      <c r="R224" s="44"/>
      <c r="S224" s="4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</sheetData>
  <autoFilter ref="A5:AR889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A5273588-3165-4F09-9D57-164DB9757FB4}">
      <formula1>0</formula1>
      <formula2>300</formula2>
    </dataValidation>
    <dataValidation type="textLength" errorStyle="information" allowBlank="1" showInputMessage="1" showErrorMessage="1" error="XLBVal:6=1200478.000_x000d__x000a_" sqref="G4" xr:uid="{A8CD0820-3143-4A63-8C4D-B0E0C012FCF0}">
      <formula1>0</formula1>
      <formula2>300</formula2>
    </dataValidation>
    <dataValidation type="textLength" errorStyle="information" allowBlank="1" showInputMessage="1" showErrorMessage="1" error="XLBVal:8=_x000d__x000a_XLBRowCount:8=219_x000d__x000a_XLBColCount:8=19_x000d__x000a_" sqref="A6" xr:uid="{941F658A-5C97-49CC-B595-A5B50AAF6A0C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7481F-8539-48E0-8A7B-117C7BDC32CF}">
  <sheetPr codeName="工作表12">
    <pageSetUpPr fitToPage="1"/>
  </sheetPr>
  <dimension ref="A1:AR359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8" style="5" hidden="1" customWidth="1" outlineLevel="1"/>
    <col min="2" max="2" width="9" style="5" bestFit="1" customWidth="1" collapsed="1"/>
    <col min="3" max="3" width="19.375" style="5" bestFit="1" customWidth="1"/>
    <col min="4" max="4" width="13.375" style="6" bestFit="1" customWidth="1"/>
    <col min="5" max="5" width="12" style="6" bestFit="1" customWidth="1"/>
    <col min="6" max="6" width="3.75" style="5" bestFit="1" customWidth="1"/>
    <col min="7" max="7" width="15.75" style="7" bestFit="1" customWidth="1"/>
    <col min="8" max="8" width="6.75" style="5" bestFit="1" customWidth="1"/>
    <col min="9" max="9" width="36.125" style="8" bestFit="1" customWidth="1"/>
    <col min="10" max="10" width="5.75" style="8" bestFit="1" customWidth="1"/>
    <col min="11" max="11" width="13.375" style="9" bestFit="1" customWidth="1"/>
    <col min="12" max="12" width="12.75" style="5" bestFit="1" customWidth="1"/>
    <col min="13" max="13" width="9.3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927</v>
      </c>
      <c r="D4" s="2" t="s">
        <v>821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3772548.000",TargetCell,M_BU,$C4,$C4,M_PRD_FROM,M_PRD_TO,M_DATE,M_T1,M_T1,M_T2,M_T2,M_T3,M_T3,M_T4,M_T4,M_T5,M_T5,M_T6,M_T6,M_T8,M_T8)</f>
        <v>3772548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822</v>
      </c>
      <c r="B7" s="62">
        <v>46087</v>
      </c>
      <c r="C7" s="63" t="s">
        <v>2022</v>
      </c>
      <c r="D7" s="67">
        <v>37228</v>
      </c>
      <c r="E7" s="67"/>
      <c r="F7" s="61" t="str">
        <f t="shared" ref="F7:F30" si="0">IF(G7&gt;0,"借","貸")</f>
        <v>借</v>
      </c>
      <c r="G7" s="64">
        <f>SUM(D$6:E7)</f>
        <v>37228</v>
      </c>
      <c r="H7" s="61"/>
      <c r="I7" s="61" t="s">
        <v>2023</v>
      </c>
      <c r="J7" s="61" t="s">
        <v>114</v>
      </c>
      <c r="K7" s="64">
        <v>37228</v>
      </c>
      <c r="L7" s="61"/>
      <c r="M7" s="65" t="s">
        <v>823</v>
      </c>
      <c r="N7" s="61"/>
      <c r="O7" s="61"/>
      <c r="P7" s="61"/>
      <c r="Q7" s="61"/>
      <c r="R7" s="61">
        <v>541432</v>
      </c>
      <c r="S7" s="66" t="s">
        <v>1478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822</v>
      </c>
      <c r="B8" s="62">
        <v>46087</v>
      </c>
      <c r="C8" s="63" t="s">
        <v>2024</v>
      </c>
      <c r="D8" s="67">
        <v>14099</v>
      </c>
      <c r="E8" s="67"/>
      <c r="F8" s="61" t="str">
        <f t="shared" si="0"/>
        <v>借</v>
      </c>
      <c r="G8" s="64">
        <f>SUM(D$6:E8)</f>
        <v>51327</v>
      </c>
      <c r="H8" s="61"/>
      <c r="I8" s="61" t="s">
        <v>2025</v>
      </c>
      <c r="J8" s="61" t="s">
        <v>114</v>
      </c>
      <c r="K8" s="64">
        <v>14099</v>
      </c>
      <c r="L8" s="61"/>
      <c r="M8" s="65" t="s">
        <v>824</v>
      </c>
      <c r="N8" s="61"/>
      <c r="O8" s="61"/>
      <c r="P8" s="61"/>
      <c r="Q8" s="61"/>
      <c r="R8" s="61">
        <v>541432</v>
      </c>
      <c r="S8" s="66" t="s">
        <v>1478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822</v>
      </c>
      <c r="B9" s="62">
        <v>46087</v>
      </c>
      <c r="C9" s="63" t="s">
        <v>2032</v>
      </c>
      <c r="D9" s="67">
        <v>42994</v>
      </c>
      <c r="E9" s="67"/>
      <c r="F9" s="61" t="str">
        <f t="shared" si="0"/>
        <v>借</v>
      </c>
      <c r="G9" s="64">
        <f>SUM(D$6:E9)</f>
        <v>94321</v>
      </c>
      <c r="H9" s="61"/>
      <c r="I9" s="61" t="s">
        <v>2033</v>
      </c>
      <c r="J9" s="61" t="s">
        <v>114</v>
      </c>
      <c r="K9" s="64">
        <v>42994</v>
      </c>
      <c r="L9" s="61"/>
      <c r="M9" s="65" t="s">
        <v>2034</v>
      </c>
      <c r="N9" s="61"/>
      <c r="O9" s="61"/>
      <c r="P9" s="61"/>
      <c r="Q9" s="61"/>
      <c r="R9" s="61">
        <v>541432</v>
      </c>
      <c r="S9" s="66" t="s">
        <v>1478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822</v>
      </c>
      <c r="B10" s="62">
        <v>46120</v>
      </c>
      <c r="C10" s="63" t="s">
        <v>3066</v>
      </c>
      <c r="D10" s="67">
        <v>15000</v>
      </c>
      <c r="E10" s="67"/>
      <c r="F10" s="61" t="str">
        <f t="shared" si="0"/>
        <v>借</v>
      </c>
      <c r="G10" s="64">
        <f>SUM(D$6:E10)</f>
        <v>109321</v>
      </c>
      <c r="H10" s="61"/>
      <c r="I10" s="61" t="s">
        <v>3067</v>
      </c>
      <c r="J10" s="61" t="s">
        <v>114</v>
      </c>
      <c r="K10" s="64">
        <v>15000</v>
      </c>
      <c r="L10" s="61"/>
      <c r="M10" s="65" t="s">
        <v>2018</v>
      </c>
      <c r="N10" s="61"/>
      <c r="O10" s="61"/>
      <c r="P10" s="61"/>
      <c r="Q10" s="61"/>
      <c r="R10" s="61">
        <v>548523</v>
      </c>
      <c r="S10" s="66" t="s">
        <v>1478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822</v>
      </c>
      <c r="B11" s="62">
        <v>46120</v>
      </c>
      <c r="C11" s="63" t="s">
        <v>3068</v>
      </c>
      <c r="D11" s="67">
        <v>300000</v>
      </c>
      <c r="E11" s="67"/>
      <c r="F11" s="61" t="str">
        <f t="shared" si="0"/>
        <v>借</v>
      </c>
      <c r="G11" s="64">
        <f>SUM(D$6:E11)</f>
        <v>409321</v>
      </c>
      <c r="H11" s="61"/>
      <c r="I11" s="61" t="s">
        <v>3069</v>
      </c>
      <c r="J11" s="61" t="s">
        <v>114</v>
      </c>
      <c r="K11" s="64">
        <v>300000</v>
      </c>
      <c r="L11" s="61"/>
      <c r="M11" s="65" t="s">
        <v>2019</v>
      </c>
      <c r="N11" s="61"/>
      <c r="O11" s="61"/>
      <c r="P11" s="61"/>
      <c r="Q11" s="61"/>
      <c r="R11" s="61">
        <v>548523</v>
      </c>
      <c r="S11" s="66" t="s">
        <v>1478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822</v>
      </c>
      <c r="B12" s="62">
        <v>46120</v>
      </c>
      <c r="C12" s="63" t="s">
        <v>3070</v>
      </c>
      <c r="D12" s="67">
        <v>250000</v>
      </c>
      <c r="E12" s="67"/>
      <c r="F12" s="61" t="str">
        <f t="shared" si="0"/>
        <v>借</v>
      </c>
      <c r="G12" s="64">
        <f>SUM(D$6:E12)</f>
        <v>659321</v>
      </c>
      <c r="H12" s="61"/>
      <c r="I12" s="61" t="s">
        <v>3071</v>
      </c>
      <c r="J12" s="61" t="s">
        <v>114</v>
      </c>
      <c r="K12" s="64">
        <v>250000</v>
      </c>
      <c r="L12" s="61"/>
      <c r="M12" s="65" t="s">
        <v>447</v>
      </c>
      <c r="N12" s="61"/>
      <c r="O12" s="61"/>
      <c r="P12" s="61"/>
      <c r="Q12" s="61"/>
      <c r="R12" s="61">
        <v>548523</v>
      </c>
      <c r="S12" s="66" t="s">
        <v>1478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822</v>
      </c>
      <c r="B13" s="62">
        <v>46120</v>
      </c>
      <c r="C13" s="63" t="s">
        <v>3072</v>
      </c>
      <c r="D13" s="67">
        <v>80000</v>
      </c>
      <c r="E13" s="67"/>
      <c r="F13" s="61" t="str">
        <f t="shared" si="0"/>
        <v>借</v>
      </c>
      <c r="G13" s="64">
        <f>SUM(D$6:E13)</f>
        <v>739321</v>
      </c>
      <c r="H13" s="61"/>
      <c r="I13" s="61" t="s">
        <v>3073</v>
      </c>
      <c r="J13" s="61" t="s">
        <v>114</v>
      </c>
      <c r="K13" s="64">
        <v>80000</v>
      </c>
      <c r="L13" s="61"/>
      <c r="M13" s="65" t="s">
        <v>2020</v>
      </c>
      <c r="N13" s="61"/>
      <c r="O13" s="61"/>
      <c r="P13" s="61"/>
      <c r="Q13" s="61"/>
      <c r="R13" s="61">
        <v>548523</v>
      </c>
      <c r="S13" s="66" t="s">
        <v>1478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822</v>
      </c>
      <c r="B14" s="62">
        <v>46120</v>
      </c>
      <c r="C14" s="63" t="s">
        <v>3074</v>
      </c>
      <c r="D14" s="67">
        <v>149850</v>
      </c>
      <c r="E14" s="67"/>
      <c r="F14" s="61" t="str">
        <f t="shared" si="0"/>
        <v>借</v>
      </c>
      <c r="G14" s="64">
        <f>SUM(D$6:E14)</f>
        <v>889171</v>
      </c>
      <c r="H14" s="61"/>
      <c r="I14" s="61" t="s">
        <v>3075</v>
      </c>
      <c r="J14" s="61" t="s">
        <v>114</v>
      </c>
      <c r="K14" s="64">
        <v>149850</v>
      </c>
      <c r="L14" s="61"/>
      <c r="M14" s="65" t="s">
        <v>2021</v>
      </c>
      <c r="N14" s="61"/>
      <c r="O14" s="61"/>
      <c r="P14" s="61"/>
      <c r="Q14" s="61"/>
      <c r="R14" s="61">
        <v>548523</v>
      </c>
      <c r="S14" s="66" t="s">
        <v>1478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822</v>
      </c>
      <c r="B15" s="62">
        <v>46120</v>
      </c>
      <c r="C15" s="63" t="s">
        <v>3076</v>
      </c>
      <c r="D15" s="67">
        <v>35203</v>
      </c>
      <c r="E15" s="67"/>
      <c r="F15" s="61" t="str">
        <f t="shared" si="0"/>
        <v>借</v>
      </c>
      <c r="G15" s="64">
        <f>SUM(D$6:E15)</f>
        <v>924374</v>
      </c>
      <c r="H15" s="61"/>
      <c r="I15" s="61" t="s">
        <v>3077</v>
      </c>
      <c r="J15" s="61" t="s">
        <v>114</v>
      </c>
      <c r="K15" s="64">
        <v>35203</v>
      </c>
      <c r="L15" s="61"/>
      <c r="M15" s="65" t="s">
        <v>823</v>
      </c>
      <c r="N15" s="61"/>
      <c r="O15" s="61"/>
      <c r="P15" s="61"/>
      <c r="Q15" s="61"/>
      <c r="R15" s="61">
        <v>548523</v>
      </c>
      <c r="S15" s="66" t="s">
        <v>1478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822</v>
      </c>
      <c r="B16" s="62">
        <v>46120</v>
      </c>
      <c r="C16" s="63" t="s">
        <v>3078</v>
      </c>
      <c r="D16" s="67">
        <v>14684</v>
      </c>
      <c r="E16" s="67"/>
      <c r="F16" s="61" t="str">
        <f t="shared" si="0"/>
        <v>借</v>
      </c>
      <c r="G16" s="64">
        <f>SUM(D$6:E16)</f>
        <v>939058</v>
      </c>
      <c r="H16" s="61"/>
      <c r="I16" s="61" t="s">
        <v>3079</v>
      </c>
      <c r="J16" s="61" t="s">
        <v>114</v>
      </c>
      <c r="K16" s="64">
        <v>14684</v>
      </c>
      <c r="L16" s="61"/>
      <c r="M16" s="65" t="s">
        <v>824</v>
      </c>
      <c r="N16" s="61"/>
      <c r="O16" s="61"/>
      <c r="P16" s="61"/>
      <c r="Q16" s="61"/>
      <c r="R16" s="61">
        <v>548523</v>
      </c>
      <c r="S16" s="66" t="s">
        <v>1478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822</v>
      </c>
      <c r="B17" s="62">
        <v>46120</v>
      </c>
      <c r="C17" s="63" t="s">
        <v>3080</v>
      </c>
      <c r="D17" s="67">
        <v>109200</v>
      </c>
      <c r="E17" s="67"/>
      <c r="F17" s="61" t="str">
        <f t="shared" si="0"/>
        <v>借</v>
      </c>
      <c r="G17" s="64">
        <f>SUM(D$6:E17)</f>
        <v>1048258</v>
      </c>
      <c r="H17" s="61"/>
      <c r="I17" s="61" t="s">
        <v>3081</v>
      </c>
      <c r="J17" s="61" t="s">
        <v>114</v>
      </c>
      <c r="K17" s="64">
        <v>109200</v>
      </c>
      <c r="L17" s="61"/>
      <c r="M17" s="65" t="s">
        <v>439</v>
      </c>
      <c r="N17" s="61"/>
      <c r="O17" s="61"/>
      <c r="P17" s="61"/>
      <c r="Q17" s="61"/>
      <c r="R17" s="61">
        <v>548523</v>
      </c>
      <c r="S17" s="66" t="s">
        <v>1478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822</v>
      </c>
      <c r="B18" s="62">
        <v>46120</v>
      </c>
      <c r="C18" s="63" t="s">
        <v>3082</v>
      </c>
      <c r="D18" s="67">
        <v>40000</v>
      </c>
      <c r="E18" s="67"/>
      <c r="F18" s="61" t="str">
        <f t="shared" si="0"/>
        <v>借</v>
      </c>
      <c r="G18" s="64">
        <f>SUM(D$6:E18)</f>
        <v>1088258</v>
      </c>
      <c r="H18" s="61"/>
      <c r="I18" s="61" t="s">
        <v>3083</v>
      </c>
      <c r="J18" s="61" t="s">
        <v>114</v>
      </c>
      <c r="K18" s="64">
        <v>40000</v>
      </c>
      <c r="L18" s="61"/>
      <c r="M18" s="65" t="s">
        <v>2026</v>
      </c>
      <c r="N18" s="61"/>
      <c r="O18" s="61"/>
      <c r="P18" s="61"/>
      <c r="Q18" s="61"/>
      <c r="R18" s="61">
        <v>548523</v>
      </c>
      <c r="S18" s="66" t="s">
        <v>1478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822</v>
      </c>
      <c r="B19" s="62">
        <v>46120</v>
      </c>
      <c r="C19" s="63" t="s">
        <v>3084</v>
      </c>
      <c r="D19" s="67">
        <v>250000</v>
      </c>
      <c r="E19" s="67"/>
      <c r="F19" s="61" t="str">
        <f t="shared" si="0"/>
        <v>借</v>
      </c>
      <c r="G19" s="64">
        <f>SUM(D$6:E19)</f>
        <v>1338258</v>
      </c>
      <c r="H19" s="61"/>
      <c r="I19" s="61" t="s">
        <v>3085</v>
      </c>
      <c r="J19" s="61" t="s">
        <v>114</v>
      </c>
      <c r="K19" s="64">
        <v>250000</v>
      </c>
      <c r="L19" s="61"/>
      <c r="M19" s="65" t="s">
        <v>2027</v>
      </c>
      <c r="N19" s="61"/>
      <c r="O19" s="61"/>
      <c r="P19" s="61"/>
      <c r="Q19" s="61"/>
      <c r="R19" s="61">
        <v>548523</v>
      </c>
      <c r="S19" s="66" t="s">
        <v>1478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822</v>
      </c>
      <c r="B20" s="62">
        <v>46120</v>
      </c>
      <c r="C20" s="63" t="s">
        <v>3086</v>
      </c>
      <c r="D20" s="67">
        <v>60000</v>
      </c>
      <c r="E20" s="67"/>
      <c r="F20" s="61" t="str">
        <f t="shared" si="0"/>
        <v>借</v>
      </c>
      <c r="G20" s="64">
        <f>SUM(D$6:E20)</f>
        <v>1398258</v>
      </c>
      <c r="H20" s="61"/>
      <c r="I20" s="61" t="s">
        <v>3087</v>
      </c>
      <c r="J20" s="61" t="s">
        <v>114</v>
      </c>
      <c r="K20" s="64">
        <v>60000</v>
      </c>
      <c r="L20" s="61"/>
      <c r="M20" s="65" t="s">
        <v>2028</v>
      </c>
      <c r="N20" s="61"/>
      <c r="O20" s="61"/>
      <c r="P20" s="61"/>
      <c r="Q20" s="61"/>
      <c r="R20" s="61">
        <v>548523</v>
      </c>
      <c r="S20" s="66" t="s">
        <v>1478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822</v>
      </c>
      <c r="B21" s="62">
        <v>46120</v>
      </c>
      <c r="C21" s="63" t="s">
        <v>3088</v>
      </c>
      <c r="D21" s="67">
        <v>10000</v>
      </c>
      <c r="E21" s="67"/>
      <c r="F21" s="61" t="str">
        <f t="shared" si="0"/>
        <v>借</v>
      </c>
      <c r="G21" s="64">
        <f>SUM(D$6:E21)</f>
        <v>1408258</v>
      </c>
      <c r="H21" s="61"/>
      <c r="I21" s="61" t="s">
        <v>3089</v>
      </c>
      <c r="J21" s="61" t="s">
        <v>114</v>
      </c>
      <c r="K21" s="64">
        <v>10000</v>
      </c>
      <c r="L21" s="61"/>
      <c r="M21" s="65" t="s">
        <v>2029</v>
      </c>
      <c r="N21" s="61"/>
      <c r="O21" s="61"/>
      <c r="P21" s="61"/>
      <c r="Q21" s="61"/>
      <c r="R21" s="61">
        <v>548523</v>
      </c>
      <c r="S21" s="66" t="s">
        <v>1478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822</v>
      </c>
      <c r="B22" s="62">
        <v>46120</v>
      </c>
      <c r="C22" s="63" t="s">
        <v>3090</v>
      </c>
      <c r="D22" s="67">
        <v>150000</v>
      </c>
      <c r="E22" s="67"/>
      <c r="F22" s="61" t="str">
        <f t="shared" si="0"/>
        <v>借</v>
      </c>
      <c r="G22" s="64">
        <f>SUM(D$6:E22)</f>
        <v>1558258</v>
      </c>
      <c r="H22" s="61"/>
      <c r="I22" s="61" t="s">
        <v>3091</v>
      </c>
      <c r="J22" s="61" t="s">
        <v>114</v>
      </c>
      <c r="K22" s="64">
        <v>150000</v>
      </c>
      <c r="L22" s="61"/>
      <c r="M22" s="65" t="s">
        <v>2030</v>
      </c>
      <c r="N22" s="61"/>
      <c r="O22" s="61"/>
      <c r="P22" s="61"/>
      <c r="Q22" s="61"/>
      <c r="R22" s="61">
        <v>548523</v>
      </c>
      <c r="S22" s="66" t="s">
        <v>1478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822</v>
      </c>
      <c r="B23" s="62">
        <v>46120</v>
      </c>
      <c r="C23" s="63" t="s">
        <v>3092</v>
      </c>
      <c r="D23" s="67">
        <v>35000</v>
      </c>
      <c r="E23" s="67"/>
      <c r="F23" s="61" t="str">
        <f t="shared" si="0"/>
        <v>借</v>
      </c>
      <c r="G23" s="64">
        <f>SUM(D$6:E23)</f>
        <v>1593258</v>
      </c>
      <c r="H23" s="61"/>
      <c r="I23" s="61" t="s">
        <v>3093</v>
      </c>
      <c r="J23" s="61" t="s">
        <v>114</v>
      </c>
      <c r="K23" s="64">
        <v>35000</v>
      </c>
      <c r="L23" s="61"/>
      <c r="M23" s="65" t="s">
        <v>2031</v>
      </c>
      <c r="N23" s="61"/>
      <c r="O23" s="61"/>
      <c r="P23" s="61"/>
      <c r="Q23" s="61"/>
      <c r="R23" s="61">
        <v>548523</v>
      </c>
      <c r="S23" s="66" t="s">
        <v>1478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822</v>
      </c>
      <c r="B24" s="62">
        <v>46120</v>
      </c>
      <c r="C24" s="63" t="s">
        <v>3094</v>
      </c>
      <c r="D24" s="67">
        <v>41040</v>
      </c>
      <c r="E24" s="67"/>
      <c r="F24" s="61" t="str">
        <f t="shared" si="0"/>
        <v>借</v>
      </c>
      <c r="G24" s="64">
        <f>SUM(D$6:E24)</f>
        <v>1634298</v>
      </c>
      <c r="H24" s="61"/>
      <c r="I24" s="61" t="s">
        <v>3095</v>
      </c>
      <c r="J24" s="61" t="s">
        <v>114</v>
      </c>
      <c r="K24" s="64">
        <v>41040</v>
      </c>
      <c r="L24" s="61"/>
      <c r="M24" s="65" t="s">
        <v>2034</v>
      </c>
      <c r="N24" s="61"/>
      <c r="O24" s="61"/>
      <c r="P24" s="61"/>
      <c r="Q24" s="61"/>
      <c r="R24" s="61">
        <v>548523</v>
      </c>
      <c r="S24" s="66" t="s">
        <v>1478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822</v>
      </c>
      <c r="B25" s="62">
        <v>46120</v>
      </c>
      <c r="C25" s="63" t="s">
        <v>3096</v>
      </c>
      <c r="D25" s="67">
        <v>1416000</v>
      </c>
      <c r="E25" s="67"/>
      <c r="F25" s="61" t="str">
        <f t="shared" si="0"/>
        <v>借</v>
      </c>
      <c r="G25" s="64">
        <f>SUM(D$6:E25)</f>
        <v>3050298</v>
      </c>
      <c r="H25" s="61"/>
      <c r="I25" s="61" t="s">
        <v>3097</v>
      </c>
      <c r="J25" s="61" t="s">
        <v>114</v>
      </c>
      <c r="K25" s="64">
        <v>1416000</v>
      </c>
      <c r="L25" s="61"/>
      <c r="M25" s="65" t="s">
        <v>2035</v>
      </c>
      <c r="N25" s="61"/>
      <c r="O25" s="61"/>
      <c r="P25" s="61"/>
      <c r="Q25" s="61"/>
      <c r="R25" s="61">
        <v>548523</v>
      </c>
      <c r="S25" s="66" t="s">
        <v>1478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822</v>
      </c>
      <c r="B26" s="62">
        <v>46120</v>
      </c>
      <c r="C26" s="63" t="s">
        <v>3098</v>
      </c>
      <c r="D26" s="67">
        <v>246250</v>
      </c>
      <c r="E26" s="67"/>
      <c r="F26" s="61" t="str">
        <f t="shared" si="0"/>
        <v>借</v>
      </c>
      <c r="G26" s="64">
        <f>SUM(D$6:E26)</f>
        <v>3296548</v>
      </c>
      <c r="H26" s="61"/>
      <c r="I26" s="61" t="s">
        <v>3099</v>
      </c>
      <c r="J26" s="61" t="s">
        <v>114</v>
      </c>
      <c r="K26" s="64">
        <v>246250</v>
      </c>
      <c r="L26" s="61"/>
      <c r="M26" s="65" t="s">
        <v>2036</v>
      </c>
      <c r="N26" s="61"/>
      <c r="O26" s="61"/>
      <c r="P26" s="61"/>
      <c r="Q26" s="61"/>
      <c r="R26" s="61">
        <v>548523</v>
      </c>
      <c r="S26" s="66" t="s">
        <v>1478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822</v>
      </c>
      <c r="B27" s="62">
        <v>46120</v>
      </c>
      <c r="C27" s="63" t="s">
        <v>3100</v>
      </c>
      <c r="D27" s="67">
        <v>100000</v>
      </c>
      <c r="E27" s="67"/>
      <c r="F27" s="61" t="str">
        <f t="shared" si="0"/>
        <v>借</v>
      </c>
      <c r="G27" s="64">
        <f>SUM(D$6:E27)</f>
        <v>3396548</v>
      </c>
      <c r="H27" s="61"/>
      <c r="I27" s="61" t="s">
        <v>3101</v>
      </c>
      <c r="J27" s="61" t="s">
        <v>114</v>
      </c>
      <c r="K27" s="64">
        <v>100000</v>
      </c>
      <c r="L27" s="61"/>
      <c r="M27" s="65" t="s">
        <v>2037</v>
      </c>
      <c r="N27" s="61"/>
      <c r="O27" s="61"/>
      <c r="P27" s="61"/>
      <c r="Q27" s="61"/>
      <c r="R27" s="61">
        <v>548523</v>
      </c>
      <c r="S27" s="66" t="s">
        <v>1478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822</v>
      </c>
      <c r="B28" s="62">
        <v>46120</v>
      </c>
      <c r="C28" s="63" t="s">
        <v>3102</v>
      </c>
      <c r="D28" s="67">
        <v>322000</v>
      </c>
      <c r="E28" s="67"/>
      <c r="F28" s="61" t="str">
        <f t="shared" si="0"/>
        <v>借</v>
      </c>
      <c r="G28" s="64">
        <f>SUM(D$6:E28)</f>
        <v>3718548</v>
      </c>
      <c r="H28" s="61"/>
      <c r="I28" s="61" t="s">
        <v>3103</v>
      </c>
      <c r="J28" s="61" t="s">
        <v>114</v>
      </c>
      <c r="K28" s="64">
        <v>322000</v>
      </c>
      <c r="L28" s="61"/>
      <c r="M28" s="65" t="s">
        <v>2038</v>
      </c>
      <c r="N28" s="61"/>
      <c r="O28" s="61"/>
      <c r="P28" s="61"/>
      <c r="Q28" s="61"/>
      <c r="R28" s="61">
        <v>548523</v>
      </c>
      <c r="S28" s="66" t="s">
        <v>1478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822</v>
      </c>
      <c r="B29" s="62">
        <v>46120</v>
      </c>
      <c r="C29" s="63" t="s">
        <v>3104</v>
      </c>
      <c r="D29" s="67">
        <v>54000</v>
      </c>
      <c r="E29" s="67"/>
      <c r="F29" s="61" t="str">
        <f t="shared" si="0"/>
        <v>借</v>
      </c>
      <c r="G29" s="64">
        <f>SUM(D$6:E29)</f>
        <v>3772548</v>
      </c>
      <c r="H29" s="61"/>
      <c r="I29" s="61" t="s">
        <v>3105</v>
      </c>
      <c r="J29" s="61" t="s">
        <v>114</v>
      </c>
      <c r="K29" s="64">
        <v>54000</v>
      </c>
      <c r="L29" s="61"/>
      <c r="M29" s="65" t="s">
        <v>2039</v>
      </c>
      <c r="N29" s="61"/>
      <c r="O29" s="61"/>
      <c r="P29" s="61"/>
      <c r="Q29" s="61"/>
      <c r="R29" s="61">
        <v>548523</v>
      </c>
      <c r="S29" s="66" t="s">
        <v>1478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ht="17.25" thickBot="1">
      <c r="A30" s="44"/>
      <c r="B30" s="44" t="s">
        <v>115</v>
      </c>
      <c r="C30" s="44"/>
      <c r="D30" s="45">
        <f>SUBTOTAL(9,D7:D29)</f>
        <v>3772548</v>
      </c>
      <c r="E30" s="45">
        <f>SUBTOTAL(9,E7:E29)</f>
        <v>0</v>
      </c>
      <c r="F30" s="44" t="str">
        <f t="shared" si="0"/>
        <v>借</v>
      </c>
      <c r="G30" s="46">
        <f>G29</f>
        <v>3772548</v>
      </c>
      <c r="H30" s="44"/>
      <c r="I30" s="44"/>
      <c r="J30" s="44"/>
      <c r="K30" s="47">
        <f>SUBTOTAL(9,K7:K29)</f>
        <v>3772548</v>
      </c>
      <c r="L30" s="44"/>
      <c r="M30" s="48" t="s">
        <v>117</v>
      </c>
      <c r="N30" s="48" t="str">
        <f>IF(O30&gt;0,"借","貸")</f>
        <v>借</v>
      </c>
      <c r="O30" s="49">
        <v>3772548</v>
      </c>
      <c r="P30" s="44" t="s">
        <v>118</v>
      </c>
      <c r="Q30" s="49">
        <f>O30-G30</f>
        <v>0</v>
      </c>
      <c r="R30" s="44"/>
      <c r="S30" s="44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26:44"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26:44"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26:44"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26:44"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26:44"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26:44"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26:44"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26:44"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26:44"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26:44"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26:44"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26:44"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26:44"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26:44"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26:44"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26:44"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26:44"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26:44"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26:44"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26:44"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26:44"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26:44"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26:44"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26:44"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26:44"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26:44"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26:44"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26:44"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26:44"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26:44"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26:44"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26:44"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26:44"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26:44"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26:44"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26:44"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26:44"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26:44"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26:44"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26:44"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26:44"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26:44"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26:44"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26:44"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26:44"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26:44"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26:44"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26:44"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26:44"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26:44"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26:44"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26:44"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26:44"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26:44"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26:44"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26:44"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26:44"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26:44"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26:44"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26:44"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26:44"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26:44"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26:44"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26:44"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26:44"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26:44"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26:44"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26:44"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26:44"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26:44"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26:44"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</sheetData>
  <autoFilter ref="A5:AR888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CD111BFB-660D-468A-A2C2-756C5142B5E8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77B02476-5173-47D5-842D-57F64AA42F9B}">
      <formula1>0</formula1>
      <formula2>300</formula2>
    </dataValidation>
    <dataValidation type="textLength" errorStyle="information" allowBlank="1" showInputMessage="1" showErrorMessage="1" error="XLBVal:8=_x000d__x000a_XLBRowCount:8=25_x000d__x000a_XLBColCount:8=19_x000d__x000a_" sqref="A6" xr:uid="{A380DD1E-218C-4C8D-AA1E-8F4BBA8C609F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C7BC8-48BF-4BD3-B44D-B33EFB9832F0}">
  <sheetPr codeName="工作表13">
    <pageSetUpPr fitToPage="1"/>
  </sheetPr>
  <dimension ref="A1:AR358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3" style="5" hidden="1" customWidth="1" outlineLevel="1"/>
    <col min="2" max="2" width="11.125" style="5" bestFit="1" customWidth="1" collapsed="1"/>
    <col min="3" max="3" width="20.5" style="5" bestFit="1" customWidth="1"/>
    <col min="4" max="4" width="15.5" style="6" bestFit="1" customWidth="1"/>
    <col min="5" max="5" width="8.125" style="6" bestFit="1" customWidth="1"/>
    <col min="6" max="6" width="3.75" style="5" bestFit="1" customWidth="1"/>
    <col min="7" max="7" width="18.25" style="7" bestFit="1" customWidth="1"/>
    <col min="8" max="8" width="6.75" style="5" bestFit="1" customWidth="1"/>
    <col min="9" max="9" width="40.5" style="8" bestFit="1" customWidth="1"/>
    <col min="10" max="10" width="5.75" style="8" bestFit="1" customWidth="1"/>
    <col min="11" max="11" width="15.5" style="9" bestFit="1" customWidth="1"/>
    <col min="12" max="12" width="12.75" style="5" bestFit="1" customWidth="1"/>
    <col min="13" max="13" width="9.3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>
        <v>114182</v>
      </c>
      <c r="D4" s="2" t="s">
        <v>950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341132585.000",TargetCell,M_BU,$C4,$C4,M_PRD_FROM,M_PRD_TO,M_DATE,M_T1,M_T1,M_T2,M_T2,M_T3,M_T3,M_T4,M_T4,M_T5,M_T5,M_T6,M_T6,M_T8,M_T8)</f>
        <v>341132585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951</v>
      </c>
      <c r="B7" s="62">
        <v>45681</v>
      </c>
      <c r="C7" s="63" t="s">
        <v>952</v>
      </c>
      <c r="D7" s="67">
        <v>3014432</v>
      </c>
      <c r="E7" s="67"/>
      <c r="F7" s="61" t="str">
        <f t="shared" ref="F7:F70" si="0">IF(G7&gt;0,"借","貸")</f>
        <v>借</v>
      </c>
      <c r="G7" s="64">
        <f>SUM(D$6:E7)</f>
        <v>3014432</v>
      </c>
      <c r="H7" s="61"/>
      <c r="I7" s="61" t="s">
        <v>953</v>
      </c>
      <c r="J7" s="61" t="s">
        <v>114</v>
      </c>
      <c r="K7" s="64">
        <v>3014432</v>
      </c>
      <c r="L7" s="61"/>
      <c r="M7" s="65" t="s">
        <v>240</v>
      </c>
      <c r="N7" s="61"/>
      <c r="O7" s="61"/>
      <c r="P7" s="61"/>
      <c r="Q7" s="61"/>
      <c r="R7" s="61">
        <v>458080</v>
      </c>
      <c r="S7" s="66" t="s">
        <v>63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951</v>
      </c>
      <c r="B8" s="62">
        <v>45715</v>
      </c>
      <c r="C8" s="63" t="s">
        <v>956</v>
      </c>
      <c r="D8" s="67">
        <v>3014427</v>
      </c>
      <c r="E8" s="67"/>
      <c r="F8" s="61" t="str">
        <f t="shared" si="0"/>
        <v>借</v>
      </c>
      <c r="G8" s="64">
        <f>SUM(D$6:E8)</f>
        <v>6028859</v>
      </c>
      <c r="H8" s="61"/>
      <c r="I8" s="61" t="s">
        <v>957</v>
      </c>
      <c r="J8" s="61" t="s">
        <v>114</v>
      </c>
      <c r="K8" s="64">
        <v>3014427</v>
      </c>
      <c r="L8" s="61"/>
      <c r="M8" s="65" t="s">
        <v>240</v>
      </c>
      <c r="N8" s="61"/>
      <c r="O8" s="61"/>
      <c r="P8" s="61"/>
      <c r="Q8" s="61"/>
      <c r="R8" s="61">
        <v>462903</v>
      </c>
      <c r="S8" s="66" t="s">
        <v>63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951</v>
      </c>
      <c r="B9" s="62">
        <v>45747</v>
      </c>
      <c r="C9" s="63" t="s">
        <v>958</v>
      </c>
      <c r="D9" s="67">
        <v>3014427</v>
      </c>
      <c r="E9" s="67"/>
      <c r="F9" s="61" t="str">
        <f t="shared" si="0"/>
        <v>借</v>
      </c>
      <c r="G9" s="64">
        <f>SUM(D$6:E9)</f>
        <v>9043286</v>
      </c>
      <c r="H9" s="61"/>
      <c r="I9" s="61" t="s">
        <v>959</v>
      </c>
      <c r="J9" s="61" t="s">
        <v>114</v>
      </c>
      <c r="K9" s="64">
        <v>3014427</v>
      </c>
      <c r="L9" s="61"/>
      <c r="M9" s="65" t="s">
        <v>240</v>
      </c>
      <c r="N9" s="61"/>
      <c r="O9" s="61"/>
      <c r="P9" s="61"/>
      <c r="Q9" s="61"/>
      <c r="R9" s="61">
        <v>469013</v>
      </c>
      <c r="S9" s="66" t="s">
        <v>63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951</v>
      </c>
      <c r="B10" s="62">
        <v>45777</v>
      </c>
      <c r="C10" s="63" t="s">
        <v>960</v>
      </c>
      <c r="D10" s="67">
        <v>3014427</v>
      </c>
      <c r="E10" s="67"/>
      <c r="F10" s="61" t="str">
        <f t="shared" si="0"/>
        <v>借</v>
      </c>
      <c r="G10" s="64">
        <f>SUM(D$6:E10)</f>
        <v>12057713</v>
      </c>
      <c r="H10" s="61"/>
      <c r="I10" s="61" t="s">
        <v>961</v>
      </c>
      <c r="J10" s="61" t="s">
        <v>114</v>
      </c>
      <c r="K10" s="64">
        <v>3014427</v>
      </c>
      <c r="L10" s="61"/>
      <c r="M10" s="65" t="s">
        <v>240</v>
      </c>
      <c r="N10" s="61"/>
      <c r="O10" s="61"/>
      <c r="P10" s="61"/>
      <c r="Q10" s="61"/>
      <c r="R10" s="61">
        <v>474195</v>
      </c>
      <c r="S10" s="66" t="s">
        <v>63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951</v>
      </c>
      <c r="B11" s="62">
        <v>45806</v>
      </c>
      <c r="C11" s="63" t="s">
        <v>963</v>
      </c>
      <c r="D11" s="67">
        <v>3014427</v>
      </c>
      <c r="E11" s="67"/>
      <c r="F11" s="61" t="str">
        <f t="shared" si="0"/>
        <v>借</v>
      </c>
      <c r="G11" s="64">
        <f>SUM(D$6:E11)</f>
        <v>15072140</v>
      </c>
      <c r="H11" s="61"/>
      <c r="I11" s="61" t="s">
        <v>964</v>
      </c>
      <c r="J11" s="61" t="s">
        <v>114</v>
      </c>
      <c r="K11" s="64">
        <v>3014427</v>
      </c>
      <c r="L11" s="61"/>
      <c r="M11" s="65" t="s">
        <v>240</v>
      </c>
      <c r="N11" s="61"/>
      <c r="O11" s="61"/>
      <c r="P11" s="61"/>
      <c r="Q11" s="61"/>
      <c r="R11" s="61">
        <v>482271</v>
      </c>
      <c r="S11" s="66" t="s">
        <v>63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951</v>
      </c>
      <c r="B12" s="62">
        <v>45838</v>
      </c>
      <c r="C12" s="63" t="s">
        <v>998</v>
      </c>
      <c r="D12" s="67">
        <v>3014427</v>
      </c>
      <c r="E12" s="67"/>
      <c r="F12" s="61" t="str">
        <f t="shared" si="0"/>
        <v>借</v>
      </c>
      <c r="G12" s="64">
        <f>SUM(D$6:E12)</f>
        <v>18086567</v>
      </c>
      <c r="H12" s="61"/>
      <c r="I12" s="61" t="s">
        <v>999</v>
      </c>
      <c r="J12" s="61" t="s">
        <v>114</v>
      </c>
      <c r="K12" s="64">
        <v>3014427</v>
      </c>
      <c r="L12" s="61"/>
      <c r="M12" s="65" t="s">
        <v>240</v>
      </c>
      <c r="N12" s="61"/>
      <c r="O12" s="61"/>
      <c r="P12" s="61"/>
      <c r="Q12" s="61"/>
      <c r="R12" s="61">
        <v>488383</v>
      </c>
      <c r="S12" s="66" t="s">
        <v>63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951</v>
      </c>
      <c r="B13" s="62">
        <v>45869</v>
      </c>
      <c r="C13" s="63" t="s">
        <v>1041</v>
      </c>
      <c r="D13" s="67">
        <v>3014427</v>
      </c>
      <c r="E13" s="67"/>
      <c r="F13" s="61" t="str">
        <f t="shared" si="0"/>
        <v>借</v>
      </c>
      <c r="G13" s="64">
        <f>SUM(D$6:E13)</f>
        <v>21100994</v>
      </c>
      <c r="H13" s="61"/>
      <c r="I13" s="61" t="s">
        <v>1042</v>
      </c>
      <c r="J13" s="61" t="s">
        <v>114</v>
      </c>
      <c r="K13" s="64">
        <v>3014427</v>
      </c>
      <c r="L13" s="61"/>
      <c r="M13" s="65" t="s">
        <v>240</v>
      </c>
      <c r="N13" s="61"/>
      <c r="O13" s="61"/>
      <c r="P13" s="61"/>
      <c r="Q13" s="61"/>
      <c r="R13" s="61">
        <v>494839</v>
      </c>
      <c r="S13" s="66" t="s">
        <v>63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951</v>
      </c>
      <c r="B14" s="62">
        <v>45869</v>
      </c>
      <c r="C14" s="63" t="s">
        <v>1043</v>
      </c>
      <c r="D14" s="67">
        <v>12290</v>
      </c>
      <c r="E14" s="67"/>
      <c r="F14" s="61" t="str">
        <f t="shared" si="0"/>
        <v>借</v>
      </c>
      <c r="G14" s="64">
        <f>SUM(D$6:E14)</f>
        <v>21113284</v>
      </c>
      <c r="H14" s="61"/>
      <c r="I14" s="61" t="s">
        <v>1044</v>
      </c>
      <c r="J14" s="61" t="s">
        <v>114</v>
      </c>
      <c r="K14" s="64">
        <v>12290</v>
      </c>
      <c r="L14" s="61"/>
      <c r="M14" s="65" t="s">
        <v>557</v>
      </c>
      <c r="N14" s="61"/>
      <c r="O14" s="61"/>
      <c r="P14" s="61"/>
      <c r="Q14" s="61"/>
      <c r="R14" s="61">
        <v>495980</v>
      </c>
      <c r="S14" s="66" t="s">
        <v>845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951</v>
      </c>
      <c r="B15" s="62">
        <v>45898</v>
      </c>
      <c r="C15" s="63" t="s">
        <v>1112</v>
      </c>
      <c r="D15" s="67">
        <v>3014427</v>
      </c>
      <c r="E15" s="67"/>
      <c r="F15" s="61" t="str">
        <f t="shared" si="0"/>
        <v>借</v>
      </c>
      <c r="G15" s="64">
        <f>SUM(D$6:E15)</f>
        <v>24127711</v>
      </c>
      <c r="H15" s="61"/>
      <c r="I15" s="61" t="s">
        <v>1113</v>
      </c>
      <c r="J15" s="61" t="s">
        <v>114</v>
      </c>
      <c r="K15" s="64">
        <v>3014427</v>
      </c>
      <c r="L15" s="61"/>
      <c r="M15" s="65" t="s">
        <v>240</v>
      </c>
      <c r="N15" s="61"/>
      <c r="O15" s="61"/>
      <c r="P15" s="61"/>
      <c r="Q15" s="61"/>
      <c r="R15" s="61">
        <v>502386</v>
      </c>
      <c r="S15" s="66" t="s">
        <v>63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951</v>
      </c>
      <c r="B16" s="62">
        <v>45898</v>
      </c>
      <c r="C16" s="63" t="s">
        <v>1110</v>
      </c>
      <c r="D16" s="67">
        <v>12290</v>
      </c>
      <c r="E16" s="67"/>
      <c r="F16" s="61" t="str">
        <f t="shared" si="0"/>
        <v>借</v>
      </c>
      <c r="G16" s="64">
        <f>SUM(D$6:E16)</f>
        <v>24140001</v>
      </c>
      <c r="H16" s="61"/>
      <c r="I16" s="61" t="s">
        <v>1111</v>
      </c>
      <c r="J16" s="61" t="s">
        <v>114</v>
      </c>
      <c r="K16" s="64">
        <v>12290</v>
      </c>
      <c r="L16" s="61"/>
      <c r="M16" s="65" t="s">
        <v>557</v>
      </c>
      <c r="N16" s="61"/>
      <c r="O16" s="61"/>
      <c r="P16" s="61"/>
      <c r="Q16" s="61"/>
      <c r="R16" s="61">
        <v>502480</v>
      </c>
      <c r="S16" s="66" t="s">
        <v>845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951</v>
      </c>
      <c r="B17" s="62">
        <v>45930</v>
      </c>
      <c r="C17" s="63" t="s">
        <v>1152</v>
      </c>
      <c r="D17" s="67">
        <v>3014427</v>
      </c>
      <c r="E17" s="67"/>
      <c r="F17" s="61" t="str">
        <f t="shared" si="0"/>
        <v>借</v>
      </c>
      <c r="G17" s="64">
        <f>SUM(D$6:E17)</f>
        <v>27154428</v>
      </c>
      <c r="H17" s="61"/>
      <c r="I17" s="61" t="s">
        <v>1153</v>
      </c>
      <c r="J17" s="61" t="s">
        <v>114</v>
      </c>
      <c r="K17" s="64">
        <v>3014427</v>
      </c>
      <c r="L17" s="61"/>
      <c r="M17" s="65" t="s">
        <v>240</v>
      </c>
      <c r="N17" s="61"/>
      <c r="O17" s="61"/>
      <c r="P17" s="61"/>
      <c r="Q17" s="61"/>
      <c r="R17" s="61">
        <v>506454</v>
      </c>
      <c r="S17" s="66" t="s">
        <v>63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951</v>
      </c>
      <c r="B18" s="62">
        <v>45930</v>
      </c>
      <c r="C18" s="63" t="s">
        <v>1159</v>
      </c>
      <c r="D18" s="67">
        <v>12441</v>
      </c>
      <c r="E18" s="67"/>
      <c r="F18" s="61" t="str">
        <f t="shared" si="0"/>
        <v>借</v>
      </c>
      <c r="G18" s="64">
        <f>SUM(D$6:E18)</f>
        <v>27166869</v>
      </c>
      <c r="H18" s="61"/>
      <c r="I18" s="61" t="s">
        <v>1160</v>
      </c>
      <c r="J18" s="61" t="s">
        <v>114</v>
      </c>
      <c r="K18" s="64">
        <v>12441</v>
      </c>
      <c r="L18" s="61"/>
      <c r="M18" s="65" t="s">
        <v>557</v>
      </c>
      <c r="N18" s="61"/>
      <c r="O18" s="61"/>
      <c r="P18" s="61"/>
      <c r="Q18" s="61"/>
      <c r="R18" s="61">
        <v>508658</v>
      </c>
      <c r="S18" s="66" t="s">
        <v>845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951</v>
      </c>
      <c r="B19" s="62">
        <v>45961</v>
      </c>
      <c r="C19" s="63" t="s">
        <v>1221</v>
      </c>
      <c r="D19" s="67">
        <v>17423</v>
      </c>
      <c r="E19" s="67"/>
      <c r="F19" s="61" t="str">
        <f t="shared" si="0"/>
        <v>借</v>
      </c>
      <c r="G19" s="64">
        <f>SUM(D$6:E19)</f>
        <v>27184292</v>
      </c>
      <c r="H19" s="61"/>
      <c r="I19" s="61" t="s">
        <v>1222</v>
      </c>
      <c r="J19" s="61" t="s">
        <v>114</v>
      </c>
      <c r="K19" s="64">
        <v>17423</v>
      </c>
      <c r="L19" s="61"/>
      <c r="M19" s="65" t="s">
        <v>557</v>
      </c>
      <c r="N19" s="61"/>
      <c r="O19" s="61"/>
      <c r="P19" s="61"/>
      <c r="Q19" s="61"/>
      <c r="R19" s="61">
        <v>515152</v>
      </c>
      <c r="S19" s="66" t="s">
        <v>845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951</v>
      </c>
      <c r="B20" s="62">
        <v>45961</v>
      </c>
      <c r="C20" s="63" t="s">
        <v>1223</v>
      </c>
      <c r="D20" s="67">
        <v>3014427</v>
      </c>
      <c r="E20" s="67"/>
      <c r="F20" s="61" t="str">
        <f t="shared" si="0"/>
        <v>借</v>
      </c>
      <c r="G20" s="64">
        <f>SUM(D$6:E20)</f>
        <v>30198719</v>
      </c>
      <c r="H20" s="61"/>
      <c r="I20" s="61" t="s">
        <v>1224</v>
      </c>
      <c r="J20" s="61" t="s">
        <v>114</v>
      </c>
      <c r="K20" s="64">
        <v>3014427</v>
      </c>
      <c r="L20" s="61"/>
      <c r="M20" s="65" t="s">
        <v>240</v>
      </c>
      <c r="N20" s="61"/>
      <c r="O20" s="61"/>
      <c r="P20" s="61"/>
      <c r="Q20" s="61"/>
      <c r="R20" s="61">
        <v>515267</v>
      </c>
      <c r="S20" s="66" t="s">
        <v>63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951</v>
      </c>
      <c r="B21" s="62">
        <v>45989</v>
      </c>
      <c r="C21" s="63" t="s">
        <v>1261</v>
      </c>
      <c r="D21" s="67">
        <v>3014427</v>
      </c>
      <c r="E21" s="67"/>
      <c r="F21" s="61" t="str">
        <f t="shared" si="0"/>
        <v>借</v>
      </c>
      <c r="G21" s="64">
        <f>SUM(D$6:E21)</f>
        <v>33213146</v>
      </c>
      <c r="H21" s="61"/>
      <c r="I21" s="61" t="s">
        <v>1262</v>
      </c>
      <c r="J21" s="61" t="s">
        <v>114</v>
      </c>
      <c r="K21" s="64">
        <v>3014427</v>
      </c>
      <c r="L21" s="61"/>
      <c r="M21" s="65" t="s">
        <v>240</v>
      </c>
      <c r="N21" s="61"/>
      <c r="O21" s="61"/>
      <c r="P21" s="61"/>
      <c r="Q21" s="61"/>
      <c r="R21" s="61">
        <v>521455</v>
      </c>
      <c r="S21" s="66" t="s">
        <v>63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951</v>
      </c>
      <c r="B22" s="62">
        <v>45989</v>
      </c>
      <c r="C22" s="63" t="s">
        <v>1259</v>
      </c>
      <c r="D22" s="67">
        <v>13752</v>
      </c>
      <c r="E22" s="67"/>
      <c r="F22" s="61" t="str">
        <f t="shared" si="0"/>
        <v>借</v>
      </c>
      <c r="G22" s="64">
        <f>SUM(D$6:E22)</f>
        <v>33226898</v>
      </c>
      <c r="H22" s="61"/>
      <c r="I22" s="61" t="s">
        <v>1260</v>
      </c>
      <c r="J22" s="61" t="s">
        <v>114</v>
      </c>
      <c r="K22" s="64">
        <v>13752</v>
      </c>
      <c r="L22" s="61"/>
      <c r="M22" s="65" t="s">
        <v>557</v>
      </c>
      <c r="N22" s="61"/>
      <c r="O22" s="61"/>
      <c r="P22" s="61"/>
      <c r="Q22" s="61"/>
      <c r="R22" s="61">
        <v>521555</v>
      </c>
      <c r="S22" s="66" t="s">
        <v>845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951</v>
      </c>
      <c r="B23" s="62">
        <v>46022</v>
      </c>
      <c r="C23" s="63" t="s">
        <v>1377</v>
      </c>
      <c r="D23" s="67">
        <v>1542000</v>
      </c>
      <c r="E23" s="67"/>
      <c r="F23" s="61" t="str">
        <f t="shared" si="0"/>
        <v>借</v>
      </c>
      <c r="G23" s="64">
        <f>SUM(D$6:E23)</f>
        <v>34768898</v>
      </c>
      <c r="H23" s="61"/>
      <c r="I23" s="61" t="s">
        <v>1378</v>
      </c>
      <c r="J23" s="61" t="s">
        <v>114</v>
      </c>
      <c r="K23" s="64">
        <v>1542000</v>
      </c>
      <c r="L23" s="61"/>
      <c r="M23" s="65" t="s">
        <v>239</v>
      </c>
      <c r="N23" s="61"/>
      <c r="O23" s="61"/>
      <c r="P23" s="61"/>
      <c r="Q23" s="61"/>
      <c r="R23" s="61">
        <v>528497</v>
      </c>
      <c r="S23" s="66" t="s">
        <v>843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951</v>
      </c>
      <c r="B24" s="62">
        <v>46022</v>
      </c>
      <c r="C24" s="63" t="s">
        <v>1375</v>
      </c>
      <c r="D24" s="67">
        <v>456448</v>
      </c>
      <c r="E24" s="67"/>
      <c r="F24" s="61" t="str">
        <f t="shared" si="0"/>
        <v>借</v>
      </c>
      <c r="G24" s="64">
        <f>SUM(D$6:E24)</f>
        <v>35225346</v>
      </c>
      <c r="H24" s="61"/>
      <c r="I24" s="61" t="s">
        <v>1376</v>
      </c>
      <c r="J24" s="61" t="s">
        <v>114</v>
      </c>
      <c r="K24" s="64">
        <v>456448</v>
      </c>
      <c r="L24" s="61"/>
      <c r="M24" s="65" t="s">
        <v>955</v>
      </c>
      <c r="N24" s="61"/>
      <c r="O24" s="61"/>
      <c r="P24" s="61"/>
      <c r="Q24" s="61"/>
      <c r="R24" s="61">
        <v>528595</v>
      </c>
      <c r="S24" s="66" t="s">
        <v>843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951</v>
      </c>
      <c r="B25" s="62">
        <v>46022</v>
      </c>
      <c r="C25" s="63" t="s">
        <v>1379</v>
      </c>
      <c r="D25" s="67">
        <v>3014427</v>
      </c>
      <c r="E25" s="67"/>
      <c r="F25" s="61" t="str">
        <f t="shared" si="0"/>
        <v>借</v>
      </c>
      <c r="G25" s="64">
        <f>SUM(D$6:E25)</f>
        <v>38239773</v>
      </c>
      <c r="H25" s="61"/>
      <c r="I25" s="61" t="s">
        <v>1380</v>
      </c>
      <c r="J25" s="61" t="s">
        <v>114</v>
      </c>
      <c r="K25" s="64">
        <v>3014427</v>
      </c>
      <c r="L25" s="61"/>
      <c r="M25" s="65" t="s">
        <v>240</v>
      </c>
      <c r="N25" s="61"/>
      <c r="O25" s="61"/>
      <c r="P25" s="61"/>
      <c r="Q25" s="61"/>
      <c r="R25" s="61">
        <v>528822</v>
      </c>
      <c r="S25" s="66" t="s">
        <v>63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951</v>
      </c>
      <c r="B26" s="62">
        <v>46052</v>
      </c>
      <c r="C26" s="63" t="s">
        <v>1497</v>
      </c>
      <c r="D26" s="67">
        <v>3174492</v>
      </c>
      <c r="E26" s="67"/>
      <c r="F26" s="61" t="str">
        <f t="shared" si="0"/>
        <v>借</v>
      </c>
      <c r="G26" s="64">
        <f>SUM(D$6:E26)</f>
        <v>41414265</v>
      </c>
      <c r="H26" s="61"/>
      <c r="I26" s="61" t="s">
        <v>1498</v>
      </c>
      <c r="J26" s="61" t="s">
        <v>114</v>
      </c>
      <c r="K26" s="64">
        <v>3174492</v>
      </c>
      <c r="L26" s="61"/>
      <c r="M26" s="65" t="s">
        <v>240</v>
      </c>
      <c r="N26" s="61"/>
      <c r="O26" s="61"/>
      <c r="P26" s="61"/>
      <c r="Q26" s="61"/>
      <c r="R26" s="61">
        <v>533908</v>
      </c>
      <c r="S26" s="66" t="s">
        <v>1478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951</v>
      </c>
      <c r="B27" s="62">
        <v>46052</v>
      </c>
      <c r="C27" s="63" t="s">
        <v>1499</v>
      </c>
      <c r="D27" s="67">
        <v>149441</v>
      </c>
      <c r="E27" s="67"/>
      <c r="F27" s="61" t="str">
        <f t="shared" si="0"/>
        <v>借</v>
      </c>
      <c r="G27" s="64">
        <f>SUM(D$6:E27)</f>
        <v>41563706</v>
      </c>
      <c r="H27" s="61"/>
      <c r="I27" s="61" t="s">
        <v>1500</v>
      </c>
      <c r="J27" s="61" t="s">
        <v>114</v>
      </c>
      <c r="K27" s="64">
        <v>149441</v>
      </c>
      <c r="L27" s="61"/>
      <c r="M27" s="65" t="s">
        <v>954</v>
      </c>
      <c r="N27" s="61"/>
      <c r="O27" s="61"/>
      <c r="P27" s="61"/>
      <c r="Q27" s="61"/>
      <c r="R27" s="61">
        <v>533908</v>
      </c>
      <c r="S27" s="66" t="s">
        <v>1478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951</v>
      </c>
      <c r="B28" s="62">
        <v>46052</v>
      </c>
      <c r="C28" s="63" t="s">
        <v>1534</v>
      </c>
      <c r="D28" s="67">
        <v>3200</v>
      </c>
      <c r="E28" s="67"/>
      <c r="F28" s="61" t="str">
        <f t="shared" si="0"/>
        <v>借</v>
      </c>
      <c r="G28" s="64">
        <f>SUM(D$6:E28)</f>
        <v>41566906</v>
      </c>
      <c r="H28" s="61"/>
      <c r="I28" s="61" t="s">
        <v>1535</v>
      </c>
      <c r="J28" s="61" t="s">
        <v>114</v>
      </c>
      <c r="K28" s="64">
        <v>3200</v>
      </c>
      <c r="L28" s="61"/>
      <c r="M28" s="65" t="s">
        <v>962</v>
      </c>
      <c r="N28" s="61"/>
      <c r="O28" s="61"/>
      <c r="P28" s="61"/>
      <c r="Q28" s="61"/>
      <c r="R28" s="61">
        <v>534386</v>
      </c>
      <c r="S28" s="66" t="s">
        <v>843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951</v>
      </c>
      <c r="B29" s="62">
        <v>46052</v>
      </c>
      <c r="C29" s="63" t="s">
        <v>1532</v>
      </c>
      <c r="D29" s="67">
        <v>2250</v>
      </c>
      <c r="E29" s="67"/>
      <c r="F29" s="61" t="str">
        <f t="shared" si="0"/>
        <v>借</v>
      </c>
      <c r="G29" s="64">
        <f>SUM(D$6:E29)</f>
        <v>41569156</v>
      </c>
      <c r="H29" s="61"/>
      <c r="I29" s="61" t="s">
        <v>1533</v>
      </c>
      <c r="J29" s="61" t="s">
        <v>114</v>
      </c>
      <c r="K29" s="64">
        <v>2250</v>
      </c>
      <c r="L29" s="61"/>
      <c r="M29" s="65" t="s">
        <v>406</v>
      </c>
      <c r="N29" s="61"/>
      <c r="O29" s="61"/>
      <c r="P29" s="61"/>
      <c r="Q29" s="61"/>
      <c r="R29" s="61">
        <v>534386</v>
      </c>
      <c r="S29" s="66" t="s">
        <v>843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951</v>
      </c>
      <c r="B30" s="62">
        <v>46052</v>
      </c>
      <c r="C30" s="63" t="s">
        <v>1530</v>
      </c>
      <c r="D30" s="67">
        <v>1800</v>
      </c>
      <c r="E30" s="67"/>
      <c r="F30" s="61" t="str">
        <f t="shared" si="0"/>
        <v>借</v>
      </c>
      <c r="G30" s="64">
        <f>SUM(D$6:E30)</f>
        <v>41570956</v>
      </c>
      <c r="H30" s="61"/>
      <c r="I30" s="61" t="s">
        <v>1531</v>
      </c>
      <c r="J30" s="61" t="s">
        <v>114</v>
      </c>
      <c r="K30" s="64">
        <v>1800</v>
      </c>
      <c r="L30" s="61"/>
      <c r="M30" s="65" t="s">
        <v>406</v>
      </c>
      <c r="N30" s="61"/>
      <c r="O30" s="61"/>
      <c r="P30" s="61"/>
      <c r="Q30" s="61"/>
      <c r="R30" s="61">
        <v>534386</v>
      </c>
      <c r="S30" s="66" t="s">
        <v>843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951</v>
      </c>
      <c r="B31" s="62">
        <v>46052</v>
      </c>
      <c r="C31" s="63" t="s">
        <v>1542</v>
      </c>
      <c r="D31" s="67">
        <v>59500000</v>
      </c>
      <c r="E31" s="67"/>
      <c r="F31" s="61" t="str">
        <f t="shared" si="0"/>
        <v>借</v>
      </c>
      <c r="G31" s="64">
        <f>SUM(D$6:E31)</f>
        <v>101070956</v>
      </c>
      <c r="H31" s="61"/>
      <c r="I31" s="61" t="s">
        <v>1543</v>
      </c>
      <c r="J31" s="61" t="s">
        <v>114</v>
      </c>
      <c r="K31" s="64">
        <v>59500000</v>
      </c>
      <c r="L31" s="61"/>
      <c r="M31" s="65" t="s">
        <v>239</v>
      </c>
      <c r="N31" s="61"/>
      <c r="O31" s="61"/>
      <c r="P31" s="61"/>
      <c r="Q31" s="61"/>
      <c r="R31" s="61">
        <v>534786</v>
      </c>
      <c r="S31" s="66" t="s">
        <v>843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951</v>
      </c>
      <c r="B32" s="62">
        <v>46052</v>
      </c>
      <c r="C32" s="63" t="s">
        <v>1540</v>
      </c>
      <c r="D32" s="67">
        <v>587724</v>
      </c>
      <c r="E32" s="67"/>
      <c r="F32" s="61" t="str">
        <f t="shared" si="0"/>
        <v>借</v>
      </c>
      <c r="G32" s="64">
        <f>SUM(D$6:E32)</f>
        <v>101658680</v>
      </c>
      <c r="H32" s="61"/>
      <c r="I32" s="61" t="s">
        <v>1541</v>
      </c>
      <c r="J32" s="61" t="s">
        <v>114</v>
      </c>
      <c r="K32" s="64">
        <v>587724</v>
      </c>
      <c r="L32" s="61"/>
      <c r="M32" s="65" t="s">
        <v>955</v>
      </c>
      <c r="N32" s="61"/>
      <c r="O32" s="61"/>
      <c r="P32" s="61"/>
      <c r="Q32" s="61"/>
      <c r="R32" s="61">
        <v>534787</v>
      </c>
      <c r="S32" s="66" t="s">
        <v>843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951</v>
      </c>
      <c r="B33" s="62">
        <v>46052</v>
      </c>
      <c r="C33" s="63" t="s">
        <v>1538</v>
      </c>
      <c r="D33" s="67">
        <v>45311</v>
      </c>
      <c r="E33" s="67"/>
      <c r="F33" s="61" t="str">
        <f t="shared" si="0"/>
        <v>借</v>
      </c>
      <c r="G33" s="64">
        <f>SUM(D$6:E33)</f>
        <v>101703991</v>
      </c>
      <c r="H33" s="61"/>
      <c r="I33" s="61" t="s">
        <v>1539</v>
      </c>
      <c r="J33" s="61" t="s">
        <v>114</v>
      </c>
      <c r="K33" s="64">
        <v>45311</v>
      </c>
      <c r="L33" s="61"/>
      <c r="M33" s="65" t="s">
        <v>740</v>
      </c>
      <c r="N33" s="61"/>
      <c r="O33" s="61"/>
      <c r="P33" s="61"/>
      <c r="Q33" s="61"/>
      <c r="R33" s="61">
        <v>535114</v>
      </c>
      <c r="S33" s="66" t="s">
        <v>845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951</v>
      </c>
      <c r="B34" s="62">
        <v>46052</v>
      </c>
      <c r="C34" s="63" t="s">
        <v>1536</v>
      </c>
      <c r="D34" s="67">
        <v>16706</v>
      </c>
      <c r="E34" s="67"/>
      <c r="F34" s="61" t="str">
        <f t="shared" si="0"/>
        <v>借</v>
      </c>
      <c r="G34" s="64">
        <f>SUM(D$6:E34)</f>
        <v>101720697</v>
      </c>
      <c r="H34" s="61"/>
      <c r="I34" s="61" t="s">
        <v>1537</v>
      </c>
      <c r="J34" s="61" t="s">
        <v>114</v>
      </c>
      <c r="K34" s="64">
        <v>16706</v>
      </c>
      <c r="L34" s="61"/>
      <c r="M34" s="65" t="s">
        <v>557</v>
      </c>
      <c r="N34" s="61"/>
      <c r="O34" s="61"/>
      <c r="P34" s="61"/>
      <c r="Q34" s="61"/>
      <c r="R34" s="61">
        <v>535114</v>
      </c>
      <c r="S34" s="66" t="s">
        <v>845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951</v>
      </c>
      <c r="B35" s="62">
        <v>46079</v>
      </c>
      <c r="C35" s="63" t="s">
        <v>1778</v>
      </c>
      <c r="D35" s="67">
        <v>5900</v>
      </c>
      <c r="E35" s="67"/>
      <c r="F35" s="61" t="str">
        <f t="shared" si="0"/>
        <v>借</v>
      </c>
      <c r="G35" s="64">
        <f>SUM(D$6:E35)</f>
        <v>101726597</v>
      </c>
      <c r="H35" s="61"/>
      <c r="I35" s="61" t="s">
        <v>1779</v>
      </c>
      <c r="J35" s="61" t="s">
        <v>114</v>
      </c>
      <c r="K35" s="64">
        <v>5900</v>
      </c>
      <c r="L35" s="61"/>
      <c r="M35" s="65" t="s">
        <v>962</v>
      </c>
      <c r="N35" s="61"/>
      <c r="O35" s="61"/>
      <c r="P35" s="61"/>
      <c r="Q35" s="61"/>
      <c r="R35" s="61">
        <v>539188</v>
      </c>
      <c r="S35" s="66" t="s">
        <v>843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951</v>
      </c>
      <c r="B36" s="62">
        <v>46079</v>
      </c>
      <c r="C36" s="63" t="s">
        <v>1780</v>
      </c>
      <c r="D36" s="67">
        <v>7000</v>
      </c>
      <c r="E36" s="67"/>
      <c r="F36" s="61" t="str">
        <f t="shared" si="0"/>
        <v>借</v>
      </c>
      <c r="G36" s="64">
        <f>SUM(D$6:E36)</f>
        <v>101733597</v>
      </c>
      <c r="H36" s="61"/>
      <c r="I36" s="61" t="s">
        <v>1781</v>
      </c>
      <c r="J36" s="61" t="s">
        <v>114</v>
      </c>
      <c r="K36" s="64">
        <v>7000</v>
      </c>
      <c r="L36" s="61"/>
      <c r="M36" s="65" t="s">
        <v>406</v>
      </c>
      <c r="N36" s="61"/>
      <c r="O36" s="61"/>
      <c r="P36" s="61"/>
      <c r="Q36" s="61"/>
      <c r="R36" s="61">
        <v>539188</v>
      </c>
      <c r="S36" s="66" t="s">
        <v>843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951</v>
      </c>
      <c r="B37" s="62">
        <v>46079</v>
      </c>
      <c r="C37" s="63" t="s">
        <v>1776</v>
      </c>
      <c r="D37" s="67">
        <v>2100</v>
      </c>
      <c r="E37" s="67"/>
      <c r="F37" s="61" t="str">
        <f t="shared" si="0"/>
        <v>借</v>
      </c>
      <c r="G37" s="64">
        <f>SUM(D$6:E37)</f>
        <v>101735697</v>
      </c>
      <c r="H37" s="61"/>
      <c r="I37" s="61" t="s">
        <v>1777</v>
      </c>
      <c r="J37" s="61" t="s">
        <v>114</v>
      </c>
      <c r="K37" s="64">
        <v>2100</v>
      </c>
      <c r="L37" s="61"/>
      <c r="M37" s="65" t="s">
        <v>406</v>
      </c>
      <c r="N37" s="61"/>
      <c r="O37" s="61"/>
      <c r="P37" s="61"/>
      <c r="Q37" s="61"/>
      <c r="R37" s="61">
        <v>539188</v>
      </c>
      <c r="S37" s="66" t="s">
        <v>843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951</v>
      </c>
      <c r="B38" s="62">
        <v>46079</v>
      </c>
      <c r="C38" s="63" t="s">
        <v>1788</v>
      </c>
      <c r="D38" s="67">
        <v>335840</v>
      </c>
      <c r="E38" s="67"/>
      <c r="F38" s="61" t="str">
        <f t="shared" si="0"/>
        <v>借</v>
      </c>
      <c r="G38" s="64">
        <f>SUM(D$6:E38)</f>
        <v>102071537</v>
      </c>
      <c r="H38" s="61"/>
      <c r="I38" s="61" t="s">
        <v>1789</v>
      </c>
      <c r="J38" s="61" t="s">
        <v>114</v>
      </c>
      <c r="K38" s="64">
        <v>335840</v>
      </c>
      <c r="L38" s="61"/>
      <c r="M38" s="65" t="s">
        <v>955</v>
      </c>
      <c r="N38" s="61"/>
      <c r="O38" s="61"/>
      <c r="P38" s="61"/>
      <c r="Q38" s="61"/>
      <c r="R38" s="61">
        <v>539280</v>
      </c>
      <c r="S38" s="66" t="s">
        <v>843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951</v>
      </c>
      <c r="B39" s="62">
        <v>46079</v>
      </c>
      <c r="C39" s="63" t="s">
        <v>1792</v>
      </c>
      <c r="D39" s="67">
        <v>7387000</v>
      </c>
      <c r="E39" s="67"/>
      <c r="F39" s="61" t="str">
        <f t="shared" si="0"/>
        <v>借</v>
      </c>
      <c r="G39" s="64">
        <f>SUM(D$6:E39)</f>
        <v>109458537</v>
      </c>
      <c r="H39" s="61"/>
      <c r="I39" s="61" t="s">
        <v>1793</v>
      </c>
      <c r="J39" s="61" t="s">
        <v>114</v>
      </c>
      <c r="K39" s="64">
        <v>7387000</v>
      </c>
      <c r="L39" s="61"/>
      <c r="M39" s="65" t="s">
        <v>239</v>
      </c>
      <c r="N39" s="61"/>
      <c r="O39" s="61"/>
      <c r="P39" s="61"/>
      <c r="Q39" s="61"/>
      <c r="R39" s="61">
        <v>539289</v>
      </c>
      <c r="S39" s="66" t="s">
        <v>843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951</v>
      </c>
      <c r="B40" s="62">
        <v>46079</v>
      </c>
      <c r="C40" s="63" t="s">
        <v>1790</v>
      </c>
      <c r="D40" s="67">
        <v>3174492</v>
      </c>
      <c r="E40" s="67"/>
      <c r="F40" s="61" t="str">
        <f t="shared" si="0"/>
        <v>借</v>
      </c>
      <c r="G40" s="64">
        <f>SUM(D$6:E40)</f>
        <v>112633029</v>
      </c>
      <c r="H40" s="61"/>
      <c r="I40" s="61" t="s">
        <v>1791</v>
      </c>
      <c r="J40" s="61" t="s">
        <v>114</v>
      </c>
      <c r="K40" s="64">
        <v>3174492</v>
      </c>
      <c r="L40" s="61"/>
      <c r="M40" s="65" t="s">
        <v>240</v>
      </c>
      <c r="N40" s="61"/>
      <c r="O40" s="61"/>
      <c r="P40" s="61"/>
      <c r="Q40" s="61"/>
      <c r="R40" s="61">
        <v>539499</v>
      </c>
      <c r="S40" s="66" t="s">
        <v>1478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951</v>
      </c>
      <c r="B41" s="62">
        <v>46079</v>
      </c>
      <c r="C41" s="63" t="s">
        <v>1786</v>
      </c>
      <c r="D41" s="67">
        <v>149441</v>
      </c>
      <c r="E41" s="67"/>
      <c r="F41" s="61" t="str">
        <f t="shared" si="0"/>
        <v>借</v>
      </c>
      <c r="G41" s="64">
        <f>SUM(D$6:E41)</f>
        <v>112782470</v>
      </c>
      <c r="H41" s="61"/>
      <c r="I41" s="61" t="s">
        <v>1787</v>
      </c>
      <c r="J41" s="61" t="s">
        <v>114</v>
      </c>
      <c r="K41" s="64">
        <v>149441</v>
      </c>
      <c r="L41" s="61"/>
      <c r="M41" s="65" t="s">
        <v>954</v>
      </c>
      <c r="N41" s="61"/>
      <c r="O41" s="61"/>
      <c r="P41" s="61"/>
      <c r="Q41" s="61"/>
      <c r="R41" s="61">
        <v>539499</v>
      </c>
      <c r="S41" s="66" t="s">
        <v>1478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951</v>
      </c>
      <c r="B42" s="62">
        <v>46079</v>
      </c>
      <c r="C42" s="63" t="s">
        <v>1784</v>
      </c>
      <c r="D42" s="67">
        <v>67528</v>
      </c>
      <c r="E42" s="67"/>
      <c r="F42" s="61" t="str">
        <f t="shared" si="0"/>
        <v>借</v>
      </c>
      <c r="G42" s="64">
        <f>SUM(D$6:E42)</f>
        <v>112849998</v>
      </c>
      <c r="H42" s="61"/>
      <c r="I42" s="61" t="s">
        <v>1785</v>
      </c>
      <c r="J42" s="61" t="s">
        <v>114</v>
      </c>
      <c r="K42" s="64">
        <v>67528</v>
      </c>
      <c r="L42" s="61"/>
      <c r="M42" s="65" t="s">
        <v>740</v>
      </c>
      <c r="N42" s="61"/>
      <c r="O42" s="61"/>
      <c r="P42" s="61"/>
      <c r="Q42" s="61"/>
      <c r="R42" s="61">
        <v>539650</v>
      </c>
      <c r="S42" s="66" t="s">
        <v>845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951</v>
      </c>
      <c r="B43" s="62">
        <v>46079</v>
      </c>
      <c r="C43" s="63" t="s">
        <v>1782</v>
      </c>
      <c r="D43" s="67">
        <v>16211</v>
      </c>
      <c r="E43" s="67"/>
      <c r="F43" s="61" t="str">
        <f t="shared" si="0"/>
        <v>借</v>
      </c>
      <c r="G43" s="64">
        <f>SUM(D$6:E43)</f>
        <v>112866209</v>
      </c>
      <c r="H43" s="61"/>
      <c r="I43" s="61" t="s">
        <v>1783</v>
      </c>
      <c r="J43" s="61" t="s">
        <v>114</v>
      </c>
      <c r="K43" s="64">
        <v>16211</v>
      </c>
      <c r="L43" s="61"/>
      <c r="M43" s="65" t="s">
        <v>557</v>
      </c>
      <c r="N43" s="61"/>
      <c r="O43" s="61"/>
      <c r="P43" s="61"/>
      <c r="Q43" s="61"/>
      <c r="R43" s="61">
        <v>539650</v>
      </c>
      <c r="S43" s="66" t="s">
        <v>845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951</v>
      </c>
      <c r="B44" s="62">
        <v>46086</v>
      </c>
      <c r="C44" s="63" t="s">
        <v>3106</v>
      </c>
      <c r="D44" s="67">
        <v>2591</v>
      </c>
      <c r="E44" s="67"/>
      <c r="F44" s="61" t="str">
        <f t="shared" si="0"/>
        <v>借</v>
      </c>
      <c r="G44" s="64">
        <f>SUM(D$6:E44)</f>
        <v>112868800</v>
      </c>
      <c r="H44" s="61" t="s">
        <v>241</v>
      </c>
      <c r="I44" s="61" t="s">
        <v>3107</v>
      </c>
      <c r="J44" s="61" t="s">
        <v>114</v>
      </c>
      <c r="K44" s="64">
        <v>2591</v>
      </c>
      <c r="L44" s="61"/>
      <c r="M44" s="65" t="s">
        <v>239</v>
      </c>
      <c r="N44" s="61"/>
      <c r="O44" s="61"/>
      <c r="P44" s="61"/>
      <c r="Q44" s="61"/>
      <c r="R44" s="61">
        <v>542112</v>
      </c>
      <c r="S44" s="66" t="s">
        <v>43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951</v>
      </c>
      <c r="B45" s="62">
        <v>46094</v>
      </c>
      <c r="C45" s="63" t="s">
        <v>3108</v>
      </c>
      <c r="D45" s="67">
        <v>2084</v>
      </c>
      <c r="E45" s="67"/>
      <c r="F45" s="61" t="str">
        <f t="shared" si="0"/>
        <v>借</v>
      </c>
      <c r="G45" s="64">
        <f>SUM(D$6:E45)</f>
        <v>112870884</v>
      </c>
      <c r="H45" s="61" t="s">
        <v>241</v>
      </c>
      <c r="I45" s="61" t="s">
        <v>3109</v>
      </c>
      <c r="J45" s="61" t="s">
        <v>114</v>
      </c>
      <c r="K45" s="64">
        <v>2084</v>
      </c>
      <c r="L45" s="61"/>
      <c r="M45" s="65" t="s">
        <v>406</v>
      </c>
      <c r="N45" s="61"/>
      <c r="O45" s="61"/>
      <c r="P45" s="61"/>
      <c r="Q45" s="61"/>
      <c r="R45" s="61">
        <v>544437</v>
      </c>
      <c r="S45" s="66" t="s">
        <v>43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951</v>
      </c>
      <c r="B46" s="62">
        <v>46098</v>
      </c>
      <c r="C46" s="63" t="s">
        <v>3110</v>
      </c>
      <c r="D46" s="67">
        <v>64924412</v>
      </c>
      <c r="E46" s="67"/>
      <c r="F46" s="61" t="str">
        <f t="shared" si="0"/>
        <v>借</v>
      </c>
      <c r="G46" s="64">
        <f>SUM(D$6:E46)</f>
        <v>177795296</v>
      </c>
      <c r="H46" s="61"/>
      <c r="I46" s="61" t="s">
        <v>3111</v>
      </c>
      <c r="J46" s="61" t="s">
        <v>114</v>
      </c>
      <c r="K46" s="64">
        <v>64924412</v>
      </c>
      <c r="L46" s="61"/>
      <c r="M46" s="65" t="s">
        <v>406</v>
      </c>
      <c r="N46" s="61"/>
      <c r="O46" s="61"/>
      <c r="P46" s="61"/>
      <c r="Q46" s="61"/>
      <c r="R46" s="61">
        <v>542989</v>
      </c>
      <c r="S46" s="66" t="s">
        <v>1478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951</v>
      </c>
      <c r="B47" s="62">
        <v>46101</v>
      </c>
      <c r="C47" s="63" t="s">
        <v>3112</v>
      </c>
      <c r="D47" s="67">
        <v>12000</v>
      </c>
      <c r="E47" s="67"/>
      <c r="F47" s="61" t="str">
        <f t="shared" si="0"/>
        <v>借</v>
      </c>
      <c r="G47" s="64">
        <f>SUM(D$6:E47)</f>
        <v>177807296</v>
      </c>
      <c r="H47" s="61" t="s">
        <v>241</v>
      </c>
      <c r="I47" s="61" t="s">
        <v>3113</v>
      </c>
      <c r="J47" s="61" t="s">
        <v>114</v>
      </c>
      <c r="K47" s="64">
        <v>12000</v>
      </c>
      <c r="L47" s="61"/>
      <c r="M47" s="65" t="s">
        <v>240</v>
      </c>
      <c r="N47" s="61"/>
      <c r="O47" s="61"/>
      <c r="P47" s="61"/>
      <c r="Q47" s="61"/>
      <c r="R47" s="61">
        <v>544803</v>
      </c>
      <c r="S47" s="66" t="s">
        <v>43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951</v>
      </c>
      <c r="B48" s="62">
        <v>46104</v>
      </c>
      <c r="C48" s="63" t="s">
        <v>3114</v>
      </c>
      <c r="D48" s="67">
        <v>53778</v>
      </c>
      <c r="E48" s="67"/>
      <c r="F48" s="61" t="str">
        <f t="shared" si="0"/>
        <v>借</v>
      </c>
      <c r="G48" s="64">
        <f>SUM(D$6:E48)</f>
        <v>177861074</v>
      </c>
      <c r="H48" s="61" t="s">
        <v>241</v>
      </c>
      <c r="I48" s="61" t="s">
        <v>3115</v>
      </c>
      <c r="J48" s="61" t="s">
        <v>114</v>
      </c>
      <c r="K48" s="64">
        <v>53778</v>
      </c>
      <c r="L48" s="61"/>
      <c r="M48" s="65" t="s">
        <v>406</v>
      </c>
      <c r="N48" s="61"/>
      <c r="O48" s="61"/>
      <c r="P48" s="61"/>
      <c r="Q48" s="61"/>
      <c r="R48" s="61">
        <v>546128</v>
      </c>
      <c r="S48" s="66" t="s">
        <v>43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951</v>
      </c>
      <c r="B49" s="62">
        <v>46104</v>
      </c>
      <c r="C49" s="63" t="s">
        <v>3116</v>
      </c>
      <c r="D49" s="67">
        <v>45691</v>
      </c>
      <c r="E49" s="67"/>
      <c r="F49" s="61" t="str">
        <f t="shared" si="0"/>
        <v>借</v>
      </c>
      <c r="G49" s="64">
        <f>SUM(D$6:E49)</f>
        <v>177906765</v>
      </c>
      <c r="H49" s="61" t="s">
        <v>241</v>
      </c>
      <c r="I49" s="61" t="s">
        <v>3117</v>
      </c>
      <c r="J49" s="61" t="s">
        <v>114</v>
      </c>
      <c r="K49" s="64">
        <v>45691</v>
      </c>
      <c r="L49" s="61"/>
      <c r="M49" s="65" t="s">
        <v>406</v>
      </c>
      <c r="N49" s="61"/>
      <c r="O49" s="61"/>
      <c r="P49" s="61"/>
      <c r="Q49" s="61"/>
      <c r="R49" s="61">
        <v>546128</v>
      </c>
      <c r="S49" s="66" t="s">
        <v>43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951</v>
      </c>
      <c r="B50" s="62">
        <v>46104</v>
      </c>
      <c r="C50" s="63" t="s">
        <v>3118</v>
      </c>
      <c r="D50" s="67">
        <v>2487</v>
      </c>
      <c r="E50" s="67"/>
      <c r="F50" s="61" t="str">
        <f t="shared" si="0"/>
        <v>借</v>
      </c>
      <c r="G50" s="64">
        <f>SUM(D$6:E50)</f>
        <v>177909252</v>
      </c>
      <c r="H50" s="61" t="s">
        <v>241</v>
      </c>
      <c r="I50" s="61" t="s">
        <v>3119</v>
      </c>
      <c r="J50" s="61" t="s">
        <v>114</v>
      </c>
      <c r="K50" s="64">
        <v>2487</v>
      </c>
      <c r="L50" s="61"/>
      <c r="M50" s="65" t="s">
        <v>240</v>
      </c>
      <c r="N50" s="61"/>
      <c r="O50" s="61"/>
      <c r="P50" s="61"/>
      <c r="Q50" s="61"/>
      <c r="R50" s="61">
        <v>546700</v>
      </c>
      <c r="S50" s="66" t="s">
        <v>43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951</v>
      </c>
      <c r="B51" s="62">
        <v>46104</v>
      </c>
      <c r="C51" s="63" t="s">
        <v>3120</v>
      </c>
      <c r="D51" s="67">
        <v>92950</v>
      </c>
      <c r="E51" s="67"/>
      <c r="F51" s="61" t="str">
        <f t="shared" si="0"/>
        <v>借</v>
      </c>
      <c r="G51" s="64">
        <f>SUM(D$6:E51)</f>
        <v>178002202</v>
      </c>
      <c r="H51" s="61" t="s">
        <v>241</v>
      </c>
      <c r="I51" s="61" t="s">
        <v>3121</v>
      </c>
      <c r="J51" s="61" t="s">
        <v>114</v>
      </c>
      <c r="K51" s="64">
        <v>92950</v>
      </c>
      <c r="L51" s="61"/>
      <c r="M51" s="65" t="s">
        <v>240</v>
      </c>
      <c r="N51" s="61"/>
      <c r="O51" s="61"/>
      <c r="P51" s="61"/>
      <c r="Q51" s="61"/>
      <c r="R51" s="61">
        <v>546711</v>
      </c>
      <c r="S51" s="66" t="s">
        <v>43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951</v>
      </c>
      <c r="B52" s="62">
        <v>46106</v>
      </c>
      <c r="C52" s="63" t="s">
        <v>3122</v>
      </c>
      <c r="D52" s="67">
        <v>52</v>
      </c>
      <c r="E52" s="67"/>
      <c r="F52" s="61" t="str">
        <f t="shared" si="0"/>
        <v>借</v>
      </c>
      <c r="G52" s="64">
        <f>SUM(D$6:E52)</f>
        <v>178002254</v>
      </c>
      <c r="H52" s="61"/>
      <c r="I52" s="61" t="s">
        <v>3123</v>
      </c>
      <c r="J52" s="61" t="s">
        <v>114</v>
      </c>
      <c r="K52" s="64">
        <v>52</v>
      </c>
      <c r="L52" s="61"/>
      <c r="M52" s="65" t="s">
        <v>1150</v>
      </c>
      <c r="N52" s="61"/>
      <c r="O52" s="61"/>
      <c r="P52" s="61"/>
      <c r="Q52" s="61"/>
      <c r="R52" s="61">
        <v>542797</v>
      </c>
      <c r="S52" s="66" t="s">
        <v>43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951</v>
      </c>
      <c r="B53" s="62">
        <v>46106</v>
      </c>
      <c r="C53" s="63" t="s">
        <v>3124</v>
      </c>
      <c r="D53" s="67">
        <v>662</v>
      </c>
      <c r="E53" s="67"/>
      <c r="F53" s="61" t="str">
        <f t="shared" si="0"/>
        <v>借</v>
      </c>
      <c r="G53" s="64">
        <f>SUM(D$6:E53)</f>
        <v>178002916</v>
      </c>
      <c r="H53" s="61"/>
      <c r="I53" s="61" t="s">
        <v>3125</v>
      </c>
      <c r="J53" s="61" t="s">
        <v>114</v>
      </c>
      <c r="K53" s="64">
        <v>662</v>
      </c>
      <c r="L53" s="61"/>
      <c r="M53" s="65" t="s">
        <v>1101</v>
      </c>
      <c r="N53" s="61"/>
      <c r="O53" s="61"/>
      <c r="P53" s="61"/>
      <c r="Q53" s="61"/>
      <c r="R53" s="61">
        <v>542797</v>
      </c>
      <c r="S53" s="66" t="s">
        <v>43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951</v>
      </c>
      <c r="B54" s="62">
        <v>46106</v>
      </c>
      <c r="C54" s="63" t="s">
        <v>3126</v>
      </c>
      <c r="D54" s="67">
        <v>1212</v>
      </c>
      <c r="E54" s="67"/>
      <c r="F54" s="61" t="str">
        <f t="shared" si="0"/>
        <v>借</v>
      </c>
      <c r="G54" s="64">
        <f>SUM(D$6:E54)</f>
        <v>178004128</v>
      </c>
      <c r="H54" s="61"/>
      <c r="I54" s="61" t="s">
        <v>3127</v>
      </c>
      <c r="J54" s="61" t="s">
        <v>114</v>
      </c>
      <c r="K54" s="64">
        <v>1212</v>
      </c>
      <c r="L54" s="61"/>
      <c r="M54" s="65" t="s">
        <v>1755</v>
      </c>
      <c r="N54" s="61"/>
      <c r="O54" s="61"/>
      <c r="P54" s="61"/>
      <c r="Q54" s="61"/>
      <c r="R54" s="61">
        <v>542805</v>
      </c>
      <c r="S54" s="66" t="s">
        <v>43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951</v>
      </c>
      <c r="B55" s="62">
        <v>46106</v>
      </c>
      <c r="C55" s="63" t="s">
        <v>3128</v>
      </c>
      <c r="D55" s="67">
        <v>1576</v>
      </c>
      <c r="E55" s="67"/>
      <c r="F55" s="61" t="str">
        <f t="shared" si="0"/>
        <v>借</v>
      </c>
      <c r="G55" s="64">
        <f>SUM(D$6:E55)</f>
        <v>178005704</v>
      </c>
      <c r="H55" s="61"/>
      <c r="I55" s="61" t="s">
        <v>3129</v>
      </c>
      <c r="J55" s="61" t="s">
        <v>114</v>
      </c>
      <c r="K55" s="64">
        <v>1576</v>
      </c>
      <c r="L55" s="61"/>
      <c r="M55" s="65" t="s">
        <v>1759</v>
      </c>
      <c r="N55" s="61"/>
      <c r="O55" s="61"/>
      <c r="P55" s="61"/>
      <c r="Q55" s="61"/>
      <c r="R55" s="61">
        <v>542805</v>
      </c>
      <c r="S55" s="66" t="s">
        <v>43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951</v>
      </c>
      <c r="B56" s="62">
        <v>46106</v>
      </c>
      <c r="C56" s="63" t="s">
        <v>3130</v>
      </c>
      <c r="D56" s="67">
        <v>4180</v>
      </c>
      <c r="E56" s="67"/>
      <c r="F56" s="61" t="str">
        <f t="shared" si="0"/>
        <v>借</v>
      </c>
      <c r="G56" s="64">
        <f>SUM(D$6:E56)</f>
        <v>178009884</v>
      </c>
      <c r="H56" s="61"/>
      <c r="I56" s="61" t="s">
        <v>3131</v>
      </c>
      <c r="J56" s="61" t="s">
        <v>114</v>
      </c>
      <c r="K56" s="64">
        <v>4180</v>
      </c>
      <c r="L56" s="61"/>
      <c r="M56" s="65" t="s">
        <v>1101</v>
      </c>
      <c r="N56" s="61"/>
      <c r="O56" s="61"/>
      <c r="P56" s="61"/>
      <c r="Q56" s="61"/>
      <c r="R56" s="61">
        <v>542805</v>
      </c>
      <c r="S56" s="66" t="s">
        <v>43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951</v>
      </c>
      <c r="B57" s="62">
        <v>46106</v>
      </c>
      <c r="C57" s="63" t="s">
        <v>3132</v>
      </c>
      <c r="D57" s="67">
        <v>6724</v>
      </c>
      <c r="E57" s="67"/>
      <c r="F57" s="61" t="str">
        <f t="shared" si="0"/>
        <v>借</v>
      </c>
      <c r="G57" s="64">
        <f>SUM(D$6:E57)</f>
        <v>178016608</v>
      </c>
      <c r="H57" s="61"/>
      <c r="I57" s="61" t="s">
        <v>3133</v>
      </c>
      <c r="J57" s="61" t="s">
        <v>114</v>
      </c>
      <c r="K57" s="64">
        <v>6724</v>
      </c>
      <c r="L57" s="61"/>
      <c r="M57" s="65" t="s">
        <v>1102</v>
      </c>
      <c r="N57" s="61"/>
      <c r="O57" s="61"/>
      <c r="P57" s="61"/>
      <c r="Q57" s="61"/>
      <c r="R57" s="61">
        <v>542805</v>
      </c>
      <c r="S57" s="66" t="s">
        <v>43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951</v>
      </c>
      <c r="B58" s="62">
        <v>46107</v>
      </c>
      <c r="C58" s="63" t="s">
        <v>3134</v>
      </c>
      <c r="D58" s="67">
        <v>3174492</v>
      </c>
      <c r="E58" s="67"/>
      <c r="F58" s="61" t="str">
        <f t="shared" si="0"/>
        <v>借</v>
      </c>
      <c r="G58" s="64">
        <f>SUM(D$6:E58)</f>
        <v>181191100</v>
      </c>
      <c r="H58" s="61"/>
      <c r="I58" s="61" t="s">
        <v>3135</v>
      </c>
      <c r="J58" s="61" t="s">
        <v>114</v>
      </c>
      <c r="K58" s="64">
        <v>3174492</v>
      </c>
      <c r="L58" s="61"/>
      <c r="M58" s="65" t="s">
        <v>240</v>
      </c>
      <c r="N58" s="61"/>
      <c r="O58" s="61"/>
      <c r="P58" s="61"/>
      <c r="Q58" s="61"/>
      <c r="R58" s="61">
        <v>544911</v>
      </c>
      <c r="S58" s="66" t="s">
        <v>1478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951</v>
      </c>
      <c r="B59" s="62">
        <v>46107</v>
      </c>
      <c r="C59" s="63" t="s">
        <v>3136</v>
      </c>
      <c r="D59" s="67">
        <v>149440</v>
      </c>
      <c r="E59" s="67"/>
      <c r="F59" s="61" t="str">
        <f t="shared" si="0"/>
        <v>借</v>
      </c>
      <c r="G59" s="64">
        <f>SUM(D$6:E59)</f>
        <v>181340540</v>
      </c>
      <c r="H59" s="61"/>
      <c r="I59" s="61" t="s">
        <v>3137</v>
      </c>
      <c r="J59" s="61" t="s">
        <v>114</v>
      </c>
      <c r="K59" s="64">
        <v>149440</v>
      </c>
      <c r="L59" s="61"/>
      <c r="M59" s="65" t="s">
        <v>954</v>
      </c>
      <c r="N59" s="61"/>
      <c r="O59" s="61"/>
      <c r="P59" s="61"/>
      <c r="Q59" s="61"/>
      <c r="R59" s="61">
        <v>544911</v>
      </c>
      <c r="S59" s="66" t="s">
        <v>1478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951</v>
      </c>
      <c r="B60" s="62">
        <v>46107</v>
      </c>
      <c r="C60" s="63" t="s">
        <v>3138</v>
      </c>
      <c r="D60" s="67">
        <v>156645</v>
      </c>
      <c r="E60" s="67"/>
      <c r="F60" s="61" t="str">
        <f t="shared" si="0"/>
        <v>借</v>
      </c>
      <c r="G60" s="64">
        <f>SUM(D$6:E60)</f>
        <v>181497185</v>
      </c>
      <c r="H60" s="61" t="s">
        <v>241</v>
      </c>
      <c r="I60" s="61" t="s">
        <v>3139</v>
      </c>
      <c r="J60" s="61" t="s">
        <v>114</v>
      </c>
      <c r="K60" s="64">
        <v>156645</v>
      </c>
      <c r="L60" s="61"/>
      <c r="M60" s="65" t="s">
        <v>240</v>
      </c>
      <c r="N60" s="61"/>
      <c r="O60" s="61"/>
      <c r="P60" s="61"/>
      <c r="Q60" s="61"/>
      <c r="R60" s="61">
        <v>546714</v>
      </c>
      <c r="S60" s="66" t="s">
        <v>43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951</v>
      </c>
      <c r="B61" s="62">
        <v>46108</v>
      </c>
      <c r="C61" s="63" t="s">
        <v>3140</v>
      </c>
      <c r="D61" s="67">
        <v>18466</v>
      </c>
      <c r="E61" s="67"/>
      <c r="F61" s="61" t="str">
        <f t="shared" si="0"/>
        <v>借</v>
      </c>
      <c r="G61" s="64">
        <f>SUM(D$6:E61)</f>
        <v>181515651</v>
      </c>
      <c r="H61" s="61" t="s">
        <v>3141</v>
      </c>
      <c r="I61" s="61" t="s">
        <v>3142</v>
      </c>
      <c r="J61" s="61" t="s">
        <v>236</v>
      </c>
      <c r="K61" s="64">
        <v>578.17999999999995</v>
      </c>
      <c r="L61" s="61"/>
      <c r="M61" s="65" t="s">
        <v>240</v>
      </c>
      <c r="N61" s="61"/>
      <c r="O61" s="61"/>
      <c r="P61" s="61"/>
      <c r="Q61" s="61"/>
      <c r="R61" s="61">
        <v>546358</v>
      </c>
      <c r="S61" s="66" t="s">
        <v>37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951</v>
      </c>
      <c r="B62" s="62">
        <v>46112</v>
      </c>
      <c r="C62" s="63" t="s">
        <v>3143</v>
      </c>
      <c r="D62" s="67">
        <v>68218939</v>
      </c>
      <c r="E62" s="67"/>
      <c r="F62" s="61" t="str">
        <f t="shared" si="0"/>
        <v>借</v>
      </c>
      <c r="G62" s="64">
        <f>SUM(D$6:E62)</f>
        <v>249734590</v>
      </c>
      <c r="H62" s="61"/>
      <c r="I62" s="61" t="s">
        <v>3144</v>
      </c>
      <c r="J62" s="61" t="s">
        <v>114</v>
      </c>
      <c r="K62" s="64">
        <v>68218939</v>
      </c>
      <c r="L62" s="61"/>
      <c r="M62" s="65" t="s">
        <v>406</v>
      </c>
      <c r="N62" s="61"/>
      <c r="O62" s="61"/>
      <c r="P62" s="61"/>
      <c r="Q62" s="61"/>
      <c r="R62" s="61">
        <v>544912</v>
      </c>
      <c r="S62" s="66" t="s">
        <v>1478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951</v>
      </c>
      <c r="B63" s="62">
        <v>46112</v>
      </c>
      <c r="C63" s="63" t="s">
        <v>3145</v>
      </c>
      <c r="D63" s="67">
        <v>8500</v>
      </c>
      <c r="E63" s="67"/>
      <c r="F63" s="61" t="str">
        <f t="shared" si="0"/>
        <v>借</v>
      </c>
      <c r="G63" s="64">
        <f>SUM(D$6:E63)</f>
        <v>249743090</v>
      </c>
      <c r="H63" s="61"/>
      <c r="I63" s="61" t="s">
        <v>3146</v>
      </c>
      <c r="J63" s="61" t="s">
        <v>114</v>
      </c>
      <c r="K63" s="64">
        <v>8500</v>
      </c>
      <c r="L63" s="61"/>
      <c r="M63" s="65" t="s">
        <v>962</v>
      </c>
      <c r="N63" s="61"/>
      <c r="O63" s="61"/>
      <c r="P63" s="61"/>
      <c r="Q63" s="61"/>
      <c r="R63" s="61">
        <v>546486</v>
      </c>
      <c r="S63" s="66" t="s">
        <v>843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951</v>
      </c>
      <c r="B64" s="62">
        <v>46112</v>
      </c>
      <c r="C64" s="63" t="s">
        <v>3147</v>
      </c>
      <c r="D64" s="67">
        <v>3250</v>
      </c>
      <c r="E64" s="67"/>
      <c r="F64" s="61" t="str">
        <f t="shared" si="0"/>
        <v>借</v>
      </c>
      <c r="G64" s="64">
        <f>SUM(D$6:E64)</f>
        <v>249746340</v>
      </c>
      <c r="H64" s="61"/>
      <c r="I64" s="61" t="s">
        <v>3148</v>
      </c>
      <c r="J64" s="61" t="s">
        <v>114</v>
      </c>
      <c r="K64" s="64">
        <v>3250</v>
      </c>
      <c r="L64" s="61"/>
      <c r="M64" s="65" t="s">
        <v>406</v>
      </c>
      <c r="N64" s="61"/>
      <c r="O64" s="61"/>
      <c r="P64" s="61"/>
      <c r="Q64" s="61"/>
      <c r="R64" s="61">
        <v>546486</v>
      </c>
      <c r="S64" s="66" t="s">
        <v>843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951</v>
      </c>
      <c r="B65" s="62">
        <v>46112</v>
      </c>
      <c r="C65" s="63" t="s">
        <v>3149</v>
      </c>
      <c r="D65" s="67">
        <v>1500</v>
      </c>
      <c r="E65" s="67"/>
      <c r="F65" s="61" t="str">
        <f t="shared" si="0"/>
        <v>借</v>
      </c>
      <c r="G65" s="64">
        <f>SUM(D$6:E65)</f>
        <v>249747840</v>
      </c>
      <c r="H65" s="61"/>
      <c r="I65" s="61" t="s">
        <v>3150</v>
      </c>
      <c r="J65" s="61" t="s">
        <v>114</v>
      </c>
      <c r="K65" s="64">
        <v>1500</v>
      </c>
      <c r="L65" s="61"/>
      <c r="M65" s="65" t="s">
        <v>406</v>
      </c>
      <c r="N65" s="61"/>
      <c r="O65" s="61"/>
      <c r="P65" s="61"/>
      <c r="Q65" s="61"/>
      <c r="R65" s="61">
        <v>546486</v>
      </c>
      <c r="S65" s="66" t="s">
        <v>843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951</v>
      </c>
      <c r="B66" s="62">
        <v>46112</v>
      </c>
      <c r="C66" s="63" t="s">
        <v>3151</v>
      </c>
      <c r="D66" s="67">
        <v>615708</v>
      </c>
      <c r="E66" s="67"/>
      <c r="F66" s="61" t="str">
        <f t="shared" si="0"/>
        <v>借</v>
      </c>
      <c r="G66" s="64">
        <f>SUM(D$6:E66)</f>
        <v>250363548</v>
      </c>
      <c r="H66" s="61"/>
      <c r="I66" s="61" t="s">
        <v>3152</v>
      </c>
      <c r="J66" s="61" t="s">
        <v>114</v>
      </c>
      <c r="K66" s="64">
        <v>615708</v>
      </c>
      <c r="L66" s="61"/>
      <c r="M66" s="65" t="s">
        <v>955</v>
      </c>
      <c r="N66" s="61"/>
      <c r="O66" s="61"/>
      <c r="P66" s="61"/>
      <c r="Q66" s="61"/>
      <c r="R66" s="61">
        <v>546783</v>
      </c>
      <c r="S66" s="66" t="s">
        <v>843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951</v>
      </c>
      <c r="B67" s="62">
        <v>46112</v>
      </c>
      <c r="C67" s="63" t="s">
        <v>3153</v>
      </c>
      <c r="D67" s="67">
        <v>11797000</v>
      </c>
      <c r="E67" s="67"/>
      <c r="F67" s="61" t="str">
        <f t="shared" si="0"/>
        <v>借</v>
      </c>
      <c r="G67" s="64">
        <f>SUM(D$6:E67)</f>
        <v>262160548</v>
      </c>
      <c r="H67" s="61"/>
      <c r="I67" s="61" t="s">
        <v>3154</v>
      </c>
      <c r="J67" s="61" t="s">
        <v>114</v>
      </c>
      <c r="K67" s="64">
        <v>11797000</v>
      </c>
      <c r="L67" s="61"/>
      <c r="M67" s="65" t="s">
        <v>239</v>
      </c>
      <c r="N67" s="61"/>
      <c r="O67" s="61"/>
      <c r="P67" s="61"/>
      <c r="Q67" s="61"/>
      <c r="R67" s="61">
        <v>546786</v>
      </c>
      <c r="S67" s="66" t="s">
        <v>843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951</v>
      </c>
      <c r="B68" s="62">
        <v>46112</v>
      </c>
      <c r="C68" s="63" t="s">
        <v>3155</v>
      </c>
      <c r="D68" s="67">
        <v>5221622</v>
      </c>
      <c r="E68" s="67"/>
      <c r="F68" s="61" t="str">
        <f t="shared" si="0"/>
        <v>借</v>
      </c>
      <c r="G68" s="64">
        <f>SUM(D$6:E68)</f>
        <v>267382170</v>
      </c>
      <c r="H68" s="61"/>
      <c r="I68" s="61" t="s">
        <v>3156</v>
      </c>
      <c r="J68" s="61" t="s">
        <v>114</v>
      </c>
      <c r="K68" s="64">
        <v>5221622</v>
      </c>
      <c r="L68" s="61"/>
      <c r="M68" s="65" t="s">
        <v>239</v>
      </c>
      <c r="N68" s="61"/>
      <c r="O68" s="61"/>
      <c r="P68" s="61"/>
      <c r="Q68" s="61"/>
      <c r="R68" s="61">
        <v>546787</v>
      </c>
      <c r="S68" s="66" t="s">
        <v>843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951</v>
      </c>
      <c r="B69" s="62">
        <v>46112</v>
      </c>
      <c r="C69" s="63" t="s">
        <v>3157</v>
      </c>
      <c r="D69" s="67">
        <v>651512</v>
      </c>
      <c r="E69" s="67"/>
      <c r="F69" s="61" t="str">
        <f t="shared" si="0"/>
        <v>借</v>
      </c>
      <c r="G69" s="64">
        <f>SUM(D$6:E69)</f>
        <v>268033682</v>
      </c>
      <c r="H69" s="61"/>
      <c r="I69" s="61" t="s">
        <v>3158</v>
      </c>
      <c r="J69" s="61" t="s">
        <v>114</v>
      </c>
      <c r="K69" s="64">
        <v>651512</v>
      </c>
      <c r="L69" s="61"/>
      <c r="M69" s="65" t="s">
        <v>406</v>
      </c>
      <c r="N69" s="61"/>
      <c r="O69" s="61"/>
      <c r="P69" s="61"/>
      <c r="Q69" s="61"/>
      <c r="R69" s="61">
        <v>546788</v>
      </c>
      <c r="S69" s="66" t="s">
        <v>843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951</v>
      </c>
      <c r="B70" s="62">
        <v>46112</v>
      </c>
      <c r="C70" s="63" t="s">
        <v>3159</v>
      </c>
      <c r="D70" s="67">
        <v>74013</v>
      </c>
      <c r="E70" s="67"/>
      <c r="F70" s="61" t="str">
        <f t="shared" si="0"/>
        <v>借</v>
      </c>
      <c r="G70" s="64">
        <f>SUM(D$6:E70)</f>
        <v>268107695</v>
      </c>
      <c r="H70" s="61"/>
      <c r="I70" s="61" t="s">
        <v>3160</v>
      </c>
      <c r="J70" s="61" t="s">
        <v>114</v>
      </c>
      <c r="K70" s="64">
        <v>74013</v>
      </c>
      <c r="L70" s="61"/>
      <c r="M70" s="65" t="s">
        <v>740</v>
      </c>
      <c r="N70" s="61"/>
      <c r="O70" s="61"/>
      <c r="P70" s="61"/>
      <c r="Q70" s="61"/>
      <c r="R70" s="61">
        <v>546790</v>
      </c>
      <c r="S70" s="66" t="s">
        <v>845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951</v>
      </c>
      <c r="B71" s="62">
        <v>46112</v>
      </c>
      <c r="C71" s="63" t="s">
        <v>3161</v>
      </c>
      <c r="D71" s="67">
        <v>21700</v>
      </c>
      <c r="E71" s="67"/>
      <c r="F71" s="61" t="str">
        <f t="shared" ref="F71:F77" si="1">IF(G71&gt;0,"借","貸")</f>
        <v>借</v>
      </c>
      <c r="G71" s="64">
        <f>SUM(D$6:E71)</f>
        <v>268129395</v>
      </c>
      <c r="H71" s="61"/>
      <c r="I71" s="61" t="s">
        <v>3162</v>
      </c>
      <c r="J71" s="61" t="s">
        <v>114</v>
      </c>
      <c r="K71" s="64">
        <v>21700</v>
      </c>
      <c r="L71" s="61"/>
      <c r="M71" s="65" t="s">
        <v>557</v>
      </c>
      <c r="N71" s="61"/>
      <c r="O71" s="61"/>
      <c r="P71" s="61"/>
      <c r="Q71" s="61"/>
      <c r="R71" s="61">
        <v>546790</v>
      </c>
      <c r="S71" s="66" t="s">
        <v>845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951</v>
      </c>
      <c r="B72" s="62">
        <v>46113</v>
      </c>
      <c r="C72" s="63" t="s">
        <v>3163</v>
      </c>
      <c r="D72" s="67">
        <v>68218939</v>
      </c>
      <c r="E72" s="67"/>
      <c r="F72" s="61" t="str">
        <f t="shared" si="1"/>
        <v>借</v>
      </c>
      <c r="G72" s="64">
        <f>SUM(D$6:E72)</f>
        <v>336348334</v>
      </c>
      <c r="H72" s="61"/>
      <c r="I72" s="61" t="s">
        <v>3164</v>
      </c>
      <c r="J72" s="61" t="s">
        <v>114</v>
      </c>
      <c r="K72" s="64">
        <v>68218939</v>
      </c>
      <c r="L72" s="61"/>
      <c r="M72" s="65" t="s">
        <v>406</v>
      </c>
      <c r="N72" s="61"/>
      <c r="O72" s="61"/>
      <c r="P72" s="61"/>
      <c r="Q72" s="61"/>
      <c r="R72" s="61">
        <v>546944</v>
      </c>
      <c r="S72" s="66" t="s">
        <v>1478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951</v>
      </c>
      <c r="B73" s="62">
        <v>46119</v>
      </c>
      <c r="C73" s="63" t="s">
        <v>3165</v>
      </c>
      <c r="D73" s="67">
        <v>3803330</v>
      </c>
      <c r="E73" s="67"/>
      <c r="F73" s="61" t="str">
        <f t="shared" si="1"/>
        <v>借</v>
      </c>
      <c r="G73" s="64">
        <f>SUM(D$6:E73)</f>
        <v>340151664</v>
      </c>
      <c r="H73" s="61"/>
      <c r="I73" s="61" t="s">
        <v>3166</v>
      </c>
      <c r="J73" s="61" t="s">
        <v>114</v>
      </c>
      <c r="K73" s="64">
        <v>3803330</v>
      </c>
      <c r="L73" s="61"/>
      <c r="M73" s="65" t="s">
        <v>406</v>
      </c>
      <c r="N73" s="61"/>
      <c r="O73" s="61"/>
      <c r="P73" s="61"/>
      <c r="Q73" s="61"/>
      <c r="R73" s="61">
        <v>547599</v>
      </c>
      <c r="S73" s="66" t="s">
        <v>843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951</v>
      </c>
      <c r="B74" s="62">
        <v>46119</v>
      </c>
      <c r="C74" s="63" t="s">
        <v>3167</v>
      </c>
      <c r="D74" s="67">
        <v>981635</v>
      </c>
      <c r="E74" s="67"/>
      <c r="F74" s="61" t="str">
        <f t="shared" si="1"/>
        <v>借</v>
      </c>
      <c r="G74" s="64">
        <f>SUM(D$6:E74)</f>
        <v>341133299</v>
      </c>
      <c r="H74" s="61"/>
      <c r="I74" s="61" t="s">
        <v>3168</v>
      </c>
      <c r="J74" s="61" t="s">
        <v>114</v>
      </c>
      <c r="K74" s="64">
        <v>981635</v>
      </c>
      <c r="L74" s="61"/>
      <c r="M74" s="65" t="s">
        <v>406</v>
      </c>
      <c r="N74" s="61"/>
      <c r="O74" s="61"/>
      <c r="P74" s="61"/>
      <c r="Q74" s="61"/>
      <c r="R74" s="61">
        <v>547599</v>
      </c>
      <c r="S74" s="66" t="s">
        <v>843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951</v>
      </c>
      <c r="B75" s="62">
        <v>46121</v>
      </c>
      <c r="C75" s="63" t="s">
        <v>3169</v>
      </c>
      <c r="D75" s="67"/>
      <c r="E75" s="67">
        <v>-662</v>
      </c>
      <c r="F75" s="61" t="str">
        <f t="shared" si="1"/>
        <v>借</v>
      </c>
      <c r="G75" s="64">
        <f>SUM(D$6:E75)</f>
        <v>341132637</v>
      </c>
      <c r="H75" s="61"/>
      <c r="I75" s="61" t="s">
        <v>3170</v>
      </c>
      <c r="J75" s="61" t="s">
        <v>114</v>
      </c>
      <c r="K75" s="64">
        <v>-662</v>
      </c>
      <c r="L75" s="61"/>
      <c r="M75" s="65" t="s">
        <v>1101</v>
      </c>
      <c r="N75" s="61"/>
      <c r="O75" s="61"/>
      <c r="P75" s="61"/>
      <c r="Q75" s="61"/>
      <c r="R75" s="61">
        <v>548779</v>
      </c>
      <c r="S75" s="66" t="s">
        <v>843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951</v>
      </c>
      <c r="B76" s="62">
        <v>46122</v>
      </c>
      <c r="C76" s="63" t="s">
        <v>3171</v>
      </c>
      <c r="D76" s="67"/>
      <c r="E76" s="67">
        <v>-52</v>
      </c>
      <c r="F76" s="61" t="str">
        <f t="shared" si="1"/>
        <v>借</v>
      </c>
      <c r="G76" s="64">
        <f>SUM(D$6:E76)</f>
        <v>341132585</v>
      </c>
      <c r="H76" s="61"/>
      <c r="I76" s="61" t="s">
        <v>3172</v>
      </c>
      <c r="J76" s="61" t="s">
        <v>114</v>
      </c>
      <c r="K76" s="64">
        <v>-52</v>
      </c>
      <c r="L76" s="61"/>
      <c r="M76" s="65" t="s">
        <v>1150</v>
      </c>
      <c r="N76" s="61"/>
      <c r="O76" s="61"/>
      <c r="P76" s="61"/>
      <c r="Q76" s="61"/>
      <c r="R76" s="61">
        <v>548780</v>
      </c>
      <c r="S76" s="66" t="s">
        <v>843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 ht="17.25" thickBot="1">
      <c r="A77" s="44"/>
      <c r="B77" s="44" t="s">
        <v>115</v>
      </c>
      <c r="C77" s="44"/>
      <c r="D77" s="45">
        <f>SUBTOTAL(9,D7:D76)</f>
        <v>341133299</v>
      </c>
      <c r="E77" s="45">
        <f>SUBTOTAL(9,E7:E76)</f>
        <v>-714</v>
      </c>
      <c r="F77" s="44" t="str">
        <f t="shared" si="1"/>
        <v>借</v>
      </c>
      <c r="G77" s="46">
        <f>G76</f>
        <v>341132585</v>
      </c>
      <c r="H77" s="44"/>
      <c r="I77" s="44"/>
      <c r="J77" s="44"/>
      <c r="K77" s="47">
        <f>SUBTOTAL(9,K7:K76)</f>
        <v>341114697.18000001</v>
      </c>
      <c r="L77" s="44"/>
      <c r="M77" s="48" t="s">
        <v>117</v>
      </c>
      <c r="N77" s="48" t="str">
        <f>IF(O77&gt;0,"借","貸")</f>
        <v>借</v>
      </c>
      <c r="O77" s="49">
        <v>341132585</v>
      </c>
      <c r="P77" s="44" t="s">
        <v>118</v>
      </c>
      <c r="Q77" s="49">
        <f>O77-G77</f>
        <v>0</v>
      </c>
      <c r="R77" s="44"/>
      <c r="S77" s="44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26:44"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26:44"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26:44"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26:44"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26:44"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26:44"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26:44"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26:44"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26:44"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26:44"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26:44"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26:44"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26:44"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26:44"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26:44"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26:44"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26:44"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26:44"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26:44"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26:44"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26:44"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26:44"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26:44"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26:44"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26:44"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26:44"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26:44"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26:44"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26:44"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26:44"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26:44"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26:44"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26:44"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26:44"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26:44"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26:44"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26:44"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26:44"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26:44"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26:44"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26:44"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26:44"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26:44"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26:44"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26:44"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26:44"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26:44"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26:44"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26:44"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26:44"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26:44"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26:44"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26:44"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26:44"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26:44"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26:44"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26:44"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26:44"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26:44"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26:44"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26:44"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26:44"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26:44"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26:44"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26:44"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26:44"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26:44"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26:44"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26:44"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26:44"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26:44"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26:44"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26:44"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26:44"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26:44"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26:44"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26:44"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26:44"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26:44"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26:44"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26:44"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26:44"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26:44"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26:44"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26:44"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26:44"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</sheetData>
  <autoFilter ref="A5:AR887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71CF4F2D-45CE-487B-BA0A-CC50AAC6F9F2}">
      <formula1>0</formula1>
      <formula2>300</formula2>
    </dataValidation>
    <dataValidation type="textLength" errorStyle="information" allowBlank="1" showInputMessage="1" showErrorMessage="1" error="XLBVal:6=1200478.000_x000d__x000a_" sqref="G4" xr:uid="{ED8A1EB0-108F-4F78-9135-B9F5A50E3D2C}">
      <formula1>0</formula1>
      <formula2>300</formula2>
    </dataValidation>
    <dataValidation type="textLength" errorStyle="information" allowBlank="1" showInputMessage="1" showErrorMessage="1" error="XLBVal:8=_x000d__x000a_XLBRowCount:8=72_x000d__x000a_XLBColCount:8=19_x000d__x000a_" sqref="A6" xr:uid="{F16C875C-365F-492E-8D41-696FF1314252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7BFB5-48B2-4C76-A133-785EEE52BF41}">
  <sheetPr codeName="工作表14">
    <pageSetUpPr fitToPage="1"/>
  </sheetPr>
  <dimension ref="A1:AR357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13.625" style="5" hidden="1" customWidth="1" outlineLevel="1"/>
    <col min="2" max="2" width="11.125" style="5" bestFit="1" customWidth="1" collapsed="1"/>
    <col min="3" max="3" width="20.5" style="5" bestFit="1" customWidth="1"/>
    <col min="4" max="4" width="11.625" style="6" bestFit="1" customWidth="1"/>
    <col min="5" max="5" width="13.375" style="6" bestFit="1" customWidth="1"/>
    <col min="6" max="6" width="3.75" style="5" bestFit="1" customWidth="1"/>
    <col min="7" max="7" width="17" style="7" bestFit="1" customWidth="1"/>
    <col min="8" max="8" width="5.875" style="5" bestFit="1" customWidth="1"/>
    <col min="9" max="9" width="47.75" style="8" bestFit="1" customWidth="1"/>
    <col min="10" max="10" width="5.75" style="8" bestFit="1" customWidth="1"/>
    <col min="11" max="11" width="13.375" style="9" bestFit="1" customWidth="1"/>
    <col min="12" max="12" width="12.75" style="5" bestFit="1" customWidth="1"/>
    <col min="13" max="13" width="9.3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>
        <v>119010</v>
      </c>
      <c r="D4" s="2" t="s">
        <v>235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-3350591.000",TargetCell,M_BU,$C4,$C4,M_PRD_FROM,M_PRD_TO,M_DATE,M_T1,M_T1,M_T2,M_T2,M_T3,M_T3,M_T4,M_T4,M_T5,M_T5,M_T6,M_T6,M_T8,M_T8)</f>
        <v>-3350591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243</v>
      </c>
      <c r="B7" s="62">
        <v>44414</v>
      </c>
      <c r="C7" s="63" t="s">
        <v>244</v>
      </c>
      <c r="D7" s="67">
        <v>78010</v>
      </c>
      <c r="E7" s="67"/>
      <c r="F7" s="61" t="str">
        <f t="shared" ref="F7:F70" si="0">IF(G7&gt;0,"借","貸")</f>
        <v>借</v>
      </c>
      <c r="G7" s="64">
        <f>SUM(D$6:E7)</f>
        <v>78010</v>
      </c>
      <c r="H7" s="61" t="s">
        <v>245</v>
      </c>
      <c r="I7" s="61" t="s">
        <v>246</v>
      </c>
      <c r="J7" s="61" t="s">
        <v>114</v>
      </c>
      <c r="K7" s="64">
        <v>78010</v>
      </c>
      <c r="L7" s="61"/>
      <c r="M7" s="65" t="s">
        <v>247</v>
      </c>
      <c r="N7" s="61"/>
      <c r="O7" s="61"/>
      <c r="P7" s="61"/>
      <c r="Q7" s="61"/>
      <c r="R7" s="61">
        <v>235693</v>
      </c>
      <c r="S7" s="66" t="s">
        <v>43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243</v>
      </c>
      <c r="B8" s="62">
        <v>45103</v>
      </c>
      <c r="C8" s="63" t="s">
        <v>248</v>
      </c>
      <c r="D8" s="67">
        <v>6</v>
      </c>
      <c r="E8" s="67"/>
      <c r="F8" s="61" t="str">
        <f t="shared" si="0"/>
        <v>借</v>
      </c>
      <c r="G8" s="64">
        <f>SUM(D$6:E8)</f>
        <v>78016</v>
      </c>
      <c r="H8" s="61"/>
      <c r="I8" s="61" t="s">
        <v>249</v>
      </c>
      <c r="J8" s="61" t="s">
        <v>114</v>
      </c>
      <c r="K8" s="64">
        <v>6</v>
      </c>
      <c r="L8" s="61"/>
      <c r="M8" s="65" t="s">
        <v>224</v>
      </c>
      <c r="N8" s="61"/>
      <c r="O8" s="61"/>
      <c r="P8" s="61"/>
      <c r="Q8" s="61"/>
      <c r="R8" s="61">
        <v>345191</v>
      </c>
      <c r="S8" s="66" t="s">
        <v>51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243</v>
      </c>
      <c r="B9" s="62">
        <v>45321</v>
      </c>
      <c r="C9" s="63" t="s">
        <v>250</v>
      </c>
      <c r="D9" s="67">
        <v>1105</v>
      </c>
      <c r="E9" s="67"/>
      <c r="F9" s="61" t="str">
        <f t="shared" si="0"/>
        <v>借</v>
      </c>
      <c r="G9" s="64">
        <f>SUM(D$6:E9)</f>
        <v>79121</v>
      </c>
      <c r="H9" s="61"/>
      <c r="I9" s="61" t="s">
        <v>251</v>
      </c>
      <c r="J9" s="61" t="s">
        <v>114</v>
      </c>
      <c r="K9" s="64">
        <v>1105</v>
      </c>
      <c r="L9" s="61"/>
      <c r="M9" s="65" t="s">
        <v>224</v>
      </c>
      <c r="N9" s="61"/>
      <c r="O9" s="61"/>
      <c r="P9" s="61"/>
      <c r="Q9" s="61"/>
      <c r="R9" s="61">
        <v>388151</v>
      </c>
      <c r="S9" s="66" t="s">
        <v>252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243</v>
      </c>
      <c r="B10" s="62">
        <v>45397</v>
      </c>
      <c r="C10" s="63" t="s">
        <v>253</v>
      </c>
      <c r="D10" s="67">
        <v>4</v>
      </c>
      <c r="E10" s="67"/>
      <c r="F10" s="61" t="str">
        <f t="shared" si="0"/>
        <v>借</v>
      </c>
      <c r="G10" s="64">
        <f>SUM(D$6:E10)</f>
        <v>79125</v>
      </c>
      <c r="H10" s="61"/>
      <c r="I10" s="61" t="s">
        <v>254</v>
      </c>
      <c r="J10" s="61" t="s">
        <v>114</v>
      </c>
      <c r="K10" s="64">
        <v>4</v>
      </c>
      <c r="L10" s="61"/>
      <c r="M10" s="65" t="s">
        <v>224</v>
      </c>
      <c r="N10" s="61"/>
      <c r="O10" s="61"/>
      <c r="P10" s="61"/>
      <c r="Q10" s="61"/>
      <c r="R10" s="61">
        <v>403157</v>
      </c>
      <c r="S10" s="66" t="s">
        <v>252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243</v>
      </c>
      <c r="B11" s="62">
        <v>45523</v>
      </c>
      <c r="C11" s="63" t="s">
        <v>257</v>
      </c>
      <c r="D11" s="67">
        <v>270</v>
      </c>
      <c r="E11" s="67"/>
      <c r="F11" s="61" t="str">
        <f t="shared" si="0"/>
        <v>借</v>
      </c>
      <c r="G11" s="64">
        <f>SUM(D$6:E11)</f>
        <v>79395</v>
      </c>
      <c r="H11" s="61"/>
      <c r="I11" s="61" t="s">
        <v>256</v>
      </c>
      <c r="J11" s="61" t="s">
        <v>114</v>
      </c>
      <c r="K11" s="64">
        <v>270</v>
      </c>
      <c r="L11" s="61"/>
      <c r="M11" s="65" t="s">
        <v>224</v>
      </c>
      <c r="N11" s="61"/>
      <c r="O11" s="61"/>
      <c r="P11" s="61"/>
      <c r="Q11" s="61"/>
      <c r="R11" s="61">
        <v>427386</v>
      </c>
      <c r="S11" s="66" t="s">
        <v>252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243</v>
      </c>
      <c r="B12" s="62">
        <v>45523</v>
      </c>
      <c r="C12" s="63" t="s">
        <v>258</v>
      </c>
      <c r="D12" s="67">
        <v>385</v>
      </c>
      <c r="E12" s="67"/>
      <c r="F12" s="61" t="str">
        <f t="shared" si="0"/>
        <v>借</v>
      </c>
      <c r="G12" s="64">
        <f>SUM(D$6:E12)</f>
        <v>79780</v>
      </c>
      <c r="H12" s="61"/>
      <c r="I12" s="61" t="s">
        <v>256</v>
      </c>
      <c r="J12" s="61" t="s">
        <v>114</v>
      </c>
      <c r="K12" s="64">
        <v>385</v>
      </c>
      <c r="L12" s="61"/>
      <c r="M12" s="65" t="s">
        <v>224</v>
      </c>
      <c r="N12" s="61"/>
      <c r="O12" s="61"/>
      <c r="P12" s="61"/>
      <c r="Q12" s="61"/>
      <c r="R12" s="61">
        <v>427386</v>
      </c>
      <c r="S12" s="66" t="s">
        <v>252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243</v>
      </c>
      <c r="B13" s="62">
        <v>45523</v>
      </c>
      <c r="C13" s="63" t="s">
        <v>255</v>
      </c>
      <c r="D13" s="67">
        <v>630</v>
      </c>
      <c r="E13" s="67"/>
      <c r="F13" s="61" t="str">
        <f t="shared" si="0"/>
        <v>借</v>
      </c>
      <c r="G13" s="64">
        <f>SUM(D$6:E13)</f>
        <v>80410</v>
      </c>
      <c r="H13" s="61"/>
      <c r="I13" s="61" t="s">
        <v>256</v>
      </c>
      <c r="J13" s="61" t="s">
        <v>114</v>
      </c>
      <c r="K13" s="64">
        <v>630</v>
      </c>
      <c r="L13" s="61"/>
      <c r="M13" s="65" t="s">
        <v>224</v>
      </c>
      <c r="N13" s="61"/>
      <c r="O13" s="61"/>
      <c r="P13" s="61"/>
      <c r="Q13" s="61"/>
      <c r="R13" s="61">
        <v>427386</v>
      </c>
      <c r="S13" s="66" t="s">
        <v>252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243</v>
      </c>
      <c r="B14" s="62">
        <v>45530</v>
      </c>
      <c r="C14" s="63" t="s">
        <v>259</v>
      </c>
      <c r="D14" s="67">
        <v>1</v>
      </c>
      <c r="E14" s="67"/>
      <c r="F14" s="61" t="str">
        <f t="shared" si="0"/>
        <v>借</v>
      </c>
      <c r="G14" s="64">
        <f>SUM(D$6:E14)</f>
        <v>80411</v>
      </c>
      <c r="H14" s="61"/>
      <c r="I14" s="61" t="s">
        <v>260</v>
      </c>
      <c r="J14" s="61" t="s">
        <v>114</v>
      </c>
      <c r="K14" s="64">
        <v>1</v>
      </c>
      <c r="L14" s="61"/>
      <c r="M14" s="65" t="s">
        <v>224</v>
      </c>
      <c r="N14" s="61"/>
      <c r="O14" s="61"/>
      <c r="P14" s="61"/>
      <c r="Q14" s="61"/>
      <c r="R14" s="61">
        <v>428685</v>
      </c>
      <c r="S14" s="66" t="s">
        <v>252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243</v>
      </c>
      <c r="B15" s="62">
        <v>45537</v>
      </c>
      <c r="C15" s="63" t="s">
        <v>263</v>
      </c>
      <c r="D15" s="67">
        <v>329</v>
      </c>
      <c r="E15" s="67"/>
      <c r="F15" s="61" t="str">
        <f t="shared" si="0"/>
        <v>借</v>
      </c>
      <c r="G15" s="64">
        <f>SUM(D$6:E15)</f>
        <v>80740</v>
      </c>
      <c r="H15" s="61"/>
      <c r="I15" s="61" t="s">
        <v>262</v>
      </c>
      <c r="J15" s="61" t="s">
        <v>114</v>
      </c>
      <c r="K15" s="64">
        <v>329</v>
      </c>
      <c r="L15" s="61"/>
      <c r="M15" s="65" t="s">
        <v>224</v>
      </c>
      <c r="N15" s="61"/>
      <c r="O15" s="61"/>
      <c r="P15" s="61"/>
      <c r="Q15" s="61"/>
      <c r="R15" s="61">
        <v>431391</v>
      </c>
      <c r="S15" s="66" t="s">
        <v>252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243</v>
      </c>
      <c r="B16" s="62">
        <v>45537</v>
      </c>
      <c r="C16" s="63" t="s">
        <v>261</v>
      </c>
      <c r="D16" s="67">
        <v>538</v>
      </c>
      <c r="E16" s="67"/>
      <c r="F16" s="61" t="str">
        <f t="shared" si="0"/>
        <v>借</v>
      </c>
      <c r="G16" s="64">
        <f>SUM(D$6:E16)</f>
        <v>81278</v>
      </c>
      <c r="H16" s="61"/>
      <c r="I16" s="61" t="s">
        <v>262</v>
      </c>
      <c r="J16" s="61" t="s">
        <v>114</v>
      </c>
      <c r="K16" s="64">
        <v>538</v>
      </c>
      <c r="L16" s="61"/>
      <c r="M16" s="65" t="s">
        <v>224</v>
      </c>
      <c r="N16" s="61"/>
      <c r="O16" s="61"/>
      <c r="P16" s="61"/>
      <c r="Q16" s="61"/>
      <c r="R16" s="61">
        <v>431391</v>
      </c>
      <c r="S16" s="66" t="s">
        <v>252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243</v>
      </c>
      <c r="B17" s="62">
        <v>45705</v>
      </c>
      <c r="C17" s="63" t="s">
        <v>268</v>
      </c>
      <c r="D17" s="67">
        <v>99</v>
      </c>
      <c r="E17" s="67"/>
      <c r="F17" s="61" t="str">
        <f t="shared" si="0"/>
        <v>借</v>
      </c>
      <c r="G17" s="64">
        <f>SUM(D$6:E17)</f>
        <v>81377</v>
      </c>
      <c r="H17" s="61"/>
      <c r="I17" s="61" t="s">
        <v>256</v>
      </c>
      <c r="J17" s="61" t="s">
        <v>114</v>
      </c>
      <c r="K17" s="64">
        <v>99</v>
      </c>
      <c r="L17" s="61"/>
      <c r="M17" s="65" t="s">
        <v>224</v>
      </c>
      <c r="N17" s="61"/>
      <c r="O17" s="61"/>
      <c r="P17" s="61"/>
      <c r="Q17" s="61"/>
      <c r="R17" s="61">
        <v>463124</v>
      </c>
      <c r="S17" s="66" t="s">
        <v>252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243</v>
      </c>
      <c r="B18" s="62">
        <v>45743</v>
      </c>
      <c r="C18" s="63" t="s">
        <v>274</v>
      </c>
      <c r="D18" s="67">
        <v>1</v>
      </c>
      <c r="E18" s="67"/>
      <c r="F18" s="61" t="str">
        <f t="shared" si="0"/>
        <v>借</v>
      </c>
      <c r="G18" s="64">
        <f>SUM(D$6:E18)</f>
        <v>81378</v>
      </c>
      <c r="H18" s="61"/>
      <c r="I18" s="61" t="s">
        <v>260</v>
      </c>
      <c r="J18" s="61" t="s">
        <v>114</v>
      </c>
      <c r="K18" s="64">
        <v>1</v>
      </c>
      <c r="L18" s="61"/>
      <c r="M18" s="65" t="s">
        <v>224</v>
      </c>
      <c r="N18" s="61"/>
      <c r="O18" s="61"/>
      <c r="P18" s="61"/>
      <c r="Q18" s="61"/>
      <c r="R18" s="61">
        <v>471267</v>
      </c>
      <c r="S18" s="66" t="s">
        <v>237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243</v>
      </c>
      <c r="B19" s="62">
        <v>45866</v>
      </c>
      <c r="C19" s="63" t="s">
        <v>1045</v>
      </c>
      <c r="D19" s="67">
        <v>1</v>
      </c>
      <c r="E19" s="67"/>
      <c r="F19" s="61" t="str">
        <f t="shared" si="0"/>
        <v>借</v>
      </c>
      <c r="G19" s="64">
        <f>SUM(D$6:E19)</f>
        <v>81379</v>
      </c>
      <c r="H19" s="61"/>
      <c r="I19" s="61" t="s">
        <v>260</v>
      </c>
      <c r="J19" s="61" t="s">
        <v>114</v>
      </c>
      <c r="K19" s="64">
        <v>1</v>
      </c>
      <c r="L19" s="61"/>
      <c r="M19" s="65" t="s">
        <v>224</v>
      </c>
      <c r="N19" s="61"/>
      <c r="O19" s="61"/>
      <c r="P19" s="61"/>
      <c r="Q19" s="61"/>
      <c r="R19" s="61">
        <v>494769</v>
      </c>
      <c r="S19" s="66" t="s">
        <v>237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243</v>
      </c>
      <c r="B20" s="62">
        <v>45986</v>
      </c>
      <c r="C20" s="63" t="s">
        <v>1263</v>
      </c>
      <c r="D20" s="67">
        <v>972</v>
      </c>
      <c r="E20" s="67"/>
      <c r="F20" s="61" t="str">
        <f t="shared" si="0"/>
        <v>借</v>
      </c>
      <c r="G20" s="64">
        <f>SUM(D$6:E20)</f>
        <v>82351</v>
      </c>
      <c r="H20" s="61"/>
      <c r="I20" s="61" t="s">
        <v>1264</v>
      </c>
      <c r="J20" s="61" t="s">
        <v>114</v>
      </c>
      <c r="K20" s="64">
        <v>972</v>
      </c>
      <c r="L20" s="61"/>
      <c r="M20" s="65" t="s">
        <v>264</v>
      </c>
      <c r="N20" s="61"/>
      <c r="O20" s="61"/>
      <c r="P20" s="61"/>
      <c r="Q20" s="61"/>
      <c r="R20" s="61">
        <v>519255</v>
      </c>
      <c r="S20" s="66" t="s">
        <v>43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243</v>
      </c>
      <c r="B21" s="62">
        <v>46006</v>
      </c>
      <c r="C21" s="63" t="s">
        <v>1333</v>
      </c>
      <c r="D21" s="67">
        <v>24</v>
      </c>
      <c r="E21" s="67"/>
      <c r="F21" s="61" t="str">
        <f t="shared" si="0"/>
        <v>借</v>
      </c>
      <c r="G21" s="64">
        <f>SUM(D$6:E21)</f>
        <v>82375</v>
      </c>
      <c r="H21" s="61"/>
      <c r="I21" s="61" t="s">
        <v>260</v>
      </c>
      <c r="J21" s="61" t="s">
        <v>114</v>
      </c>
      <c r="K21" s="64">
        <v>24</v>
      </c>
      <c r="L21" s="61"/>
      <c r="M21" s="65" t="s">
        <v>224</v>
      </c>
      <c r="N21" s="61"/>
      <c r="O21" s="61"/>
      <c r="P21" s="61"/>
      <c r="Q21" s="61"/>
      <c r="R21" s="61">
        <v>524629</v>
      </c>
      <c r="S21" s="66" t="s">
        <v>237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243</v>
      </c>
      <c r="B22" s="62">
        <v>46006</v>
      </c>
      <c r="C22" s="63" t="s">
        <v>1334</v>
      </c>
      <c r="D22" s="67">
        <v>26</v>
      </c>
      <c r="E22" s="67"/>
      <c r="F22" s="61" t="str">
        <f t="shared" si="0"/>
        <v>借</v>
      </c>
      <c r="G22" s="64">
        <f>SUM(D$6:E22)</f>
        <v>82401</v>
      </c>
      <c r="H22" s="61"/>
      <c r="I22" s="61" t="s">
        <v>260</v>
      </c>
      <c r="J22" s="61" t="s">
        <v>114</v>
      </c>
      <c r="K22" s="64">
        <v>26</v>
      </c>
      <c r="L22" s="61"/>
      <c r="M22" s="65" t="s">
        <v>224</v>
      </c>
      <c r="N22" s="61"/>
      <c r="O22" s="61"/>
      <c r="P22" s="61"/>
      <c r="Q22" s="61"/>
      <c r="R22" s="61">
        <v>524629</v>
      </c>
      <c r="S22" s="66" t="s">
        <v>237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243</v>
      </c>
      <c r="B23" s="62">
        <v>46007</v>
      </c>
      <c r="C23" s="63" t="s">
        <v>1381</v>
      </c>
      <c r="D23" s="67">
        <v>1</v>
      </c>
      <c r="E23" s="67"/>
      <c r="F23" s="61" t="str">
        <f t="shared" si="0"/>
        <v>借</v>
      </c>
      <c r="G23" s="64">
        <f>SUM(D$6:E23)</f>
        <v>82402</v>
      </c>
      <c r="H23" s="61"/>
      <c r="I23" s="61" t="s">
        <v>1382</v>
      </c>
      <c r="J23" s="61" t="s">
        <v>114</v>
      </c>
      <c r="K23" s="64">
        <v>1</v>
      </c>
      <c r="L23" s="61"/>
      <c r="M23" s="65" t="s">
        <v>224</v>
      </c>
      <c r="N23" s="61"/>
      <c r="O23" s="61"/>
      <c r="P23" s="61"/>
      <c r="Q23" s="61"/>
      <c r="R23" s="61">
        <v>526448</v>
      </c>
      <c r="S23" s="66" t="s">
        <v>237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243</v>
      </c>
      <c r="B24" s="62">
        <v>46017</v>
      </c>
      <c r="C24" s="63" t="s">
        <v>1341</v>
      </c>
      <c r="D24" s="67">
        <v>64</v>
      </c>
      <c r="E24" s="67"/>
      <c r="F24" s="61" t="str">
        <f t="shared" si="0"/>
        <v>借</v>
      </c>
      <c r="G24" s="64">
        <f>SUM(D$6:E24)</f>
        <v>82466</v>
      </c>
      <c r="H24" s="61"/>
      <c r="I24" s="61" t="s">
        <v>1342</v>
      </c>
      <c r="J24" s="61" t="s">
        <v>114</v>
      </c>
      <c r="K24" s="64">
        <v>64</v>
      </c>
      <c r="L24" s="61"/>
      <c r="M24" s="65" t="s">
        <v>264</v>
      </c>
      <c r="N24" s="61"/>
      <c r="O24" s="61"/>
      <c r="P24" s="61"/>
      <c r="Q24" s="61"/>
      <c r="R24" s="61">
        <v>525167</v>
      </c>
      <c r="S24" s="66" t="s">
        <v>43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243</v>
      </c>
      <c r="B25" s="62">
        <v>46034</v>
      </c>
      <c r="C25" s="63" t="s">
        <v>1423</v>
      </c>
      <c r="D25" s="67">
        <v>32</v>
      </c>
      <c r="E25" s="67"/>
      <c r="F25" s="61" t="str">
        <f t="shared" si="0"/>
        <v>借</v>
      </c>
      <c r="G25" s="64">
        <f>SUM(D$6:E25)</f>
        <v>82498</v>
      </c>
      <c r="H25" s="61"/>
      <c r="I25" s="61" t="s">
        <v>256</v>
      </c>
      <c r="J25" s="61" t="s">
        <v>114</v>
      </c>
      <c r="K25" s="64">
        <v>32</v>
      </c>
      <c r="L25" s="61"/>
      <c r="M25" s="65" t="s">
        <v>224</v>
      </c>
      <c r="N25" s="61"/>
      <c r="O25" s="61"/>
      <c r="P25" s="61"/>
      <c r="Q25" s="61"/>
      <c r="R25" s="61">
        <v>530421</v>
      </c>
      <c r="S25" s="66" t="s">
        <v>237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243</v>
      </c>
      <c r="B26" s="62">
        <v>46048</v>
      </c>
      <c r="C26" s="63" t="s">
        <v>1445</v>
      </c>
      <c r="D26" s="67">
        <v>60</v>
      </c>
      <c r="E26" s="67"/>
      <c r="F26" s="61" t="str">
        <f t="shared" si="0"/>
        <v>借</v>
      </c>
      <c r="G26" s="64">
        <f>SUM(D$6:E26)</f>
        <v>82558</v>
      </c>
      <c r="H26" s="61"/>
      <c r="I26" s="61" t="s">
        <v>1446</v>
      </c>
      <c r="J26" s="61" t="s">
        <v>114</v>
      </c>
      <c r="K26" s="64">
        <v>60</v>
      </c>
      <c r="L26" s="61"/>
      <c r="M26" s="65" t="s">
        <v>1447</v>
      </c>
      <c r="N26" s="61"/>
      <c r="O26" s="61"/>
      <c r="P26" s="61"/>
      <c r="Q26" s="61"/>
      <c r="R26" s="61">
        <v>531849</v>
      </c>
      <c r="S26" s="66" t="s">
        <v>43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243</v>
      </c>
      <c r="B27" s="62">
        <v>46048</v>
      </c>
      <c r="C27" s="63" t="s">
        <v>1441</v>
      </c>
      <c r="D27" s="67">
        <v>60</v>
      </c>
      <c r="E27" s="67"/>
      <c r="F27" s="61" t="str">
        <f t="shared" si="0"/>
        <v>借</v>
      </c>
      <c r="G27" s="64">
        <f>SUM(D$6:E27)</f>
        <v>82618</v>
      </c>
      <c r="H27" s="61"/>
      <c r="I27" s="61" t="s">
        <v>1442</v>
      </c>
      <c r="J27" s="61" t="s">
        <v>114</v>
      </c>
      <c r="K27" s="64">
        <v>60</v>
      </c>
      <c r="L27" s="61"/>
      <c r="M27" s="65" t="s">
        <v>386</v>
      </c>
      <c r="N27" s="61"/>
      <c r="O27" s="61"/>
      <c r="P27" s="61"/>
      <c r="Q27" s="61"/>
      <c r="R27" s="61">
        <v>531849</v>
      </c>
      <c r="S27" s="66" t="s">
        <v>43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243</v>
      </c>
      <c r="B28" s="62">
        <v>46048</v>
      </c>
      <c r="C28" s="63" t="s">
        <v>1435</v>
      </c>
      <c r="D28" s="67">
        <v>64</v>
      </c>
      <c r="E28" s="67"/>
      <c r="F28" s="61" t="str">
        <f t="shared" si="0"/>
        <v>借</v>
      </c>
      <c r="G28" s="64">
        <f>SUM(D$6:E28)</f>
        <v>82682</v>
      </c>
      <c r="H28" s="61"/>
      <c r="I28" s="61" t="s">
        <v>1436</v>
      </c>
      <c r="J28" s="61" t="s">
        <v>114</v>
      </c>
      <c r="K28" s="64">
        <v>64</v>
      </c>
      <c r="L28" s="61"/>
      <c r="M28" s="65" t="s">
        <v>267</v>
      </c>
      <c r="N28" s="61"/>
      <c r="O28" s="61"/>
      <c r="P28" s="61"/>
      <c r="Q28" s="61"/>
      <c r="R28" s="61">
        <v>531849</v>
      </c>
      <c r="S28" s="66" t="s">
        <v>43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243</v>
      </c>
      <c r="B29" s="62">
        <v>46048</v>
      </c>
      <c r="C29" s="63" t="s">
        <v>1430</v>
      </c>
      <c r="D29" s="67">
        <v>64</v>
      </c>
      <c r="E29" s="67"/>
      <c r="F29" s="61" t="str">
        <f t="shared" si="0"/>
        <v>借</v>
      </c>
      <c r="G29" s="64">
        <f>SUM(D$6:E29)</f>
        <v>82746</v>
      </c>
      <c r="H29" s="61"/>
      <c r="I29" s="61" t="s">
        <v>1431</v>
      </c>
      <c r="J29" s="61" t="s">
        <v>114</v>
      </c>
      <c r="K29" s="64">
        <v>64</v>
      </c>
      <c r="L29" s="61"/>
      <c r="M29" s="65" t="s">
        <v>979</v>
      </c>
      <c r="N29" s="61"/>
      <c r="O29" s="61"/>
      <c r="P29" s="61"/>
      <c r="Q29" s="61"/>
      <c r="R29" s="61">
        <v>531849</v>
      </c>
      <c r="S29" s="66" t="s">
        <v>43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243</v>
      </c>
      <c r="B30" s="62">
        <v>46048</v>
      </c>
      <c r="C30" s="63" t="s">
        <v>1428</v>
      </c>
      <c r="D30" s="67">
        <v>80</v>
      </c>
      <c r="E30" s="67"/>
      <c r="F30" s="61" t="str">
        <f t="shared" si="0"/>
        <v>借</v>
      </c>
      <c r="G30" s="64">
        <f>SUM(D$6:E30)</f>
        <v>82826</v>
      </c>
      <c r="H30" s="61"/>
      <c r="I30" s="61" t="s">
        <v>1429</v>
      </c>
      <c r="J30" s="61" t="s">
        <v>114</v>
      </c>
      <c r="K30" s="64">
        <v>80</v>
      </c>
      <c r="L30" s="61"/>
      <c r="M30" s="65" t="s">
        <v>326</v>
      </c>
      <c r="N30" s="61"/>
      <c r="O30" s="61"/>
      <c r="P30" s="61"/>
      <c r="Q30" s="61"/>
      <c r="R30" s="61">
        <v>531849</v>
      </c>
      <c r="S30" s="66" t="s">
        <v>43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243</v>
      </c>
      <c r="B31" s="62">
        <v>46048</v>
      </c>
      <c r="C31" s="63" t="s">
        <v>1426</v>
      </c>
      <c r="D31" s="67">
        <v>96</v>
      </c>
      <c r="E31" s="67"/>
      <c r="F31" s="61" t="str">
        <f t="shared" si="0"/>
        <v>借</v>
      </c>
      <c r="G31" s="64">
        <f>SUM(D$6:E31)</f>
        <v>82922</v>
      </c>
      <c r="H31" s="61"/>
      <c r="I31" s="61" t="s">
        <v>1427</v>
      </c>
      <c r="J31" s="61" t="s">
        <v>114</v>
      </c>
      <c r="K31" s="64">
        <v>96</v>
      </c>
      <c r="L31" s="61"/>
      <c r="M31" s="65" t="s">
        <v>266</v>
      </c>
      <c r="N31" s="61"/>
      <c r="O31" s="61"/>
      <c r="P31" s="61"/>
      <c r="Q31" s="61"/>
      <c r="R31" s="61">
        <v>531849</v>
      </c>
      <c r="S31" s="66" t="s">
        <v>43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243</v>
      </c>
      <c r="B32" s="62">
        <v>46048</v>
      </c>
      <c r="C32" s="63" t="s">
        <v>1443</v>
      </c>
      <c r="D32" s="67">
        <v>128</v>
      </c>
      <c r="E32" s="67"/>
      <c r="F32" s="61" t="str">
        <f t="shared" si="0"/>
        <v>借</v>
      </c>
      <c r="G32" s="64">
        <f>SUM(D$6:E32)</f>
        <v>83050</v>
      </c>
      <c r="H32" s="61"/>
      <c r="I32" s="61" t="s">
        <v>1444</v>
      </c>
      <c r="J32" s="61" t="s">
        <v>114</v>
      </c>
      <c r="K32" s="64">
        <v>128</v>
      </c>
      <c r="L32" s="61"/>
      <c r="M32" s="65" t="s">
        <v>1087</v>
      </c>
      <c r="N32" s="61"/>
      <c r="O32" s="61"/>
      <c r="P32" s="61"/>
      <c r="Q32" s="61"/>
      <c r="R32" s="61">
        <v>531849</v>
      </c>
      <c r="S32" s="66" t="s">
        <v>43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243</v>
      </c>
      <c r="B33" s="62">
        <v>46048</v>
      </c>
      <c r="C33" s="63" t="s">
        <v>1438</v>
      </c>
      <c r="D33" s="67">
        <v>136</v>
      </c>
      <c r="E33" s="67"/>
      <c r="F33" s="61" t="str">
        <f t="shared" si="0"/>
        <v>借</v>
      </c>
      <c r="G33" s="64">
        <f>SUM(D$6:E33)</f>
        <v>83186</v>
      </c>
      <c r="H33" s="61"/>
      <c r="I33" s="61" t="s">
        <v>1439</v>
      </c>
      <c r="J33" s="61" t="s">
        <v>114</v>
      </c>
      <c r="K33" s="64">
        <v>136</v>
      </c>
      <c r="L33" s="61"/>
      <c r="M33" s="65" t="s">
        <v>1100</v>
      </c>
      <c r="N33" s="61"/>
      <c r="O33" s="61"/>
      <c r="P33" s="61"/>
      <c r="Q33" s="61"/>
      <c r="R33" s="61">
        <v>531849</v>
      </c>
      <c r="S33" s="66" t="s">
        <v>43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243</v>
      </c>
      <c r="B34" s="62">
        <v>46048</v>
      </c>
      <c r="C34" s="63" t="s">
        <v>1424</v>
      </c>
      <c r="D34" s="67">
        <v>186</v>
      </c>
      <c r="E34" s="67"/>
      <c r="F34" s="61" t="str">
        <f t="shared" si="0"/>
        <v>借</v>
      </c>
      <c r="G34" s="64">
        <f>SUM(D$6:E34)</f>
        <v>83372</v>
      </c>
      <c r="H34" s="61"/>
      <c r="I34" s="61" t="s">
        <v>1425</v>
      </c>
      <c r="J34" s="61" t="s">
        <v>114</v>
      </c>
      <c r="K34" s="64">
        <v>186</v>
      </c>
      <c r="L34" s="61"/>
      <c r="M34" s="65" t="s">
        <v>265</v>
      </c>
      <c r="N34" s="61"/>
      <c r="O34" s="61"/>
      <c r="P34" s="61"/>
      <c r="Q34" s="61"/>
      <c r="R34" s="61">
        <v>531849</v>
      </c>
      <c r="S34" s="66" t="s">
        <v>43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243</v>
      </c>
      <c r="B35" s="62">
        <v>46062</v>
      </c>
      <c r="C35" s="63" t="s">
        <v>1794</v>
      </c>
      <c r="D35" s="67">
        <v>2848</v>
      </c>
      <c r="E35" s="67"/>
      <c r="F35" s="61" t="str">
        <f t="shared" si="0"/>
        <v>借</v>
      </c>
      <c r="G35" s="64">
        <f>SUM(D$6:E35)</f>
        <v>86220</v>
      </c>
      <c r="H35" s="61"/>
      <c r="I35" s="61" t="s">
        <v>260</v>
      </c>
      <c r="J35" s="61" t="s">
        <v>114</v>
      </c>
      <c r="K35" s="64">
        <v>2848</v>
      </c>
      <c r="L35" s="61"/>
      <c r="M35" s="65" t="s">
        <v>224</v>
      </c>
      <c r="N35" s="61"/>
      <c r="O35" s="61"/>
      <c r="P35" s="61"/>
      <c r="Q35" s="61"/>
      <c r="R35" s="61">
        <v>537576</v>
      </c>
      <c r="S35" s="66" t="s">
        <v>237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243</v>
      </c>
      <c r="B36" s="62">
        <v>46106</v>
      </c>
      <c r="C36" s="63" t="s">
        <v>3173</v>
      </c>
      <c r="D36" s="67">
        <v>56</v>
      </c>
      <c r="E36" s="67"/>
      <c r="F36" s="61" t="str">
        <f t="shared" si="0"/>
        <v>借</v>
      </c>
      <c r="G36" s="64">
        <f>SUM(D$6:E36)</f>
        <v>86276</v>
      </c>
      <c r="H36" s="61"/>
      <c r="I36" s="61" t="s">
        <v>3174</v>
      </c>
      <c r="J36" s="61" t="s">
        <v>114</v>
      </c>
      <c r="K36" s="64">
        <v>56</v>
      </c>
      <c r="L36" s="61"/>
      <c r="M36" s="65" t="s">
        <v>273</v>
      </c>
      <c r="N36" s="61"/>
      <c r="O36" s="61"/>
      <c r="P36" s="61"/>
      <c r="Q36" s="61"/>
      <c r="R36" s="61">
        <v>542797</v>
      </c>
      <c r="S36" s="66" t="s">
        <v>43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243</v>
      </c>
      <c r="B37" s="62">
        <v>46106</v>
      </c>
      <c r="C37" s="63" t="s">
        <v>3175</v>
      </c>
      <c r="D37" s="67">
        <v>56</v>
      </c>
      <c r="E37" s="67"/>
      <c r="F37" s="61" t="str">
        <f t="shared" si="0"/>
        <v>借</v>
      </c>
      <c r="G37" s="64">
        <f>SUM(D$6:E37)</f>
        <v>86332</v>
      </c>
      <c r="H37" s="61"/>
      <c r="I37" s="61" t="s">
        <v>3176</v>
      </c>
      <c r="J37" s="61" t="s">
        <v>114</v>
      </c>
      <c r="K37" s="64">
        <v>56</v>
      </c>
      <c r="L37" s="61"/>
      <c r="M37" s="65" t="s">
        <v>3177</v>
      </c>
      <c r="N37" s="61"/>
      <c r="O37" s="61"/>
      <c r="P37" s="61"/>
      <c r="Q37" s="61"/>
      <c r="R37" s="61">
        <v>542805</v>
      </c>
      <c r="S37" s="66" t="s">
        <v>43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243</v>
      </c>
      <c r="B38" s="62">
        <v>46106</v>
      </c>
      <c r="C38" s="63" t="s">
        <v>3178</v>
      </c>
      <c r="D38" s="67">
        <v>56</v>
      </c>
      <c r="E38" s="67"/>
      <c r="F38" s="61" t="str">
        <f t="shared" si="0"/>
        <v>借</v>
      </c>
      <c r="G38" s="64">
        <f>SUM(D$6:E38)</f>
        <v>86388</v>
      </c>
      <c r="H38" s="61"/>
      <c r="I38" s="61" t="s">
        <v>3179</v>
      </c>
      <c r="J38" s="61" t="s">
        <v>114</v>
      </c>
      <c r="K38" s="64">
        <v>56</v>
      </c>
      <c r="L38" s="61"/>
      <c r="M38" s="65" t="s">
        <v>979</v>
      </c>
      <c r="N38" s="61"/>
      <c r="O38" s="61"/>
      <c r="P38" s="61"/>
      <c r="Q38" s="61"/>
      <c r="R38" s="61">
        <v>542805</v>
      </c>
      <c r="S38" s="66" t="s">
        <v>43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243</v>
      </c>
      <c r="B39" s="62">
        <v>46106</v>
      </c>
      <c r="C39" s="63" t="s">
        <v>3180</v>
      </c>
      <c r="D39" s="67">
        <v>56</v>
      </c>
      <c r="E39" s="67"/>
      <c r="F39" s="61" t="str">
        <f t="shared" si="0"/>
        <v>借</v>
      </c>
      <c r="G39" s="64">
        <f>SUM(D$6:E39)</f>
        <v>86444</v>
      </c>
      <c r="H39" s="61"/>
      <c r="I39" s="61" t="s">
        <v>3181</v>
      </c>
      <c r="J39" s="61" t="s">
        <v>114</v>
      </c>
      <c r="K39" s="64">
        <v>56</v>
      </c>
      <c r="L39" s="61"/>
      <c r="M39" s="65" t="s">
        <v>387</v>
      </c>
      <c r="N39" s="61"/>
      <c r="O39" s="61"/>
      <c r="P39" s="61"/>
      <c r="Q39" s="61"/>
      <c r="R39" s="61">
        <v>542797</v>
      </c>
      <c r="S39" s="66" t="s">
        <v>43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243</v>
      </c>
      <c r="B40" s="62">
        <v>46106</v>
      </c>
      <c r="C40" s="63" t="s">
        <v>3182</v>
      </c>
      <c r="D40" s="67">
        <v>60</v>
      </c>
      <c r="E40" s="67"/>
      <c r="F40" s="61" t="str">
        <f t="shared" si="0"/>
        <v>借</v>
      </c>
      <c r="G40" s="64">
        <f>SUM(D$6:E40)</f>
        <v>86504</v>
      </c>
      <c r="H40" s="61"/>
      <c r="I40" s="61" t="s">
        <v>3183</v>
      </c>
      <c r="J40" s="61" t="s">
        <v>114</v>
      </c>
      <c r="K40" s="64">
        <v>60</v>
      </c>
      <c r="L40" s="61"/>
      <c r="M40" s="65" t="s">
        <v>1475</v>
      </c>
      <c r="N40" s="61"/>
      <c r="O40" s="61"/>
      <c r="P40" s="61"/>
      <c r="Q40" s="61"/>
      <c r="R40" s="61">
        <v>542797</v>
      </c>
      <c r="S40" s="66" t="s">
        <v>43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243</v>
      </c>
      <c r="B41" s="62">
        <v>46106</v>
      </c>
      <c r="C41" s="63" t="s">
        <v>3184</v>
      </c>
      <c r="D41" s="67">
        <v>60</v>
      </c>
      <c r="E41" s="67"/>
      <c r="F41" s="61" t="str">
        <f t="shared" si="0"/>
        <v>借</v>
      </c>
      <c r="G41" s="64">
        <f>SUM(D$6:E41)</f>
        <v>86564</v>
      </c>
      <c r="H41" s="61"/>
      <c r="I41" s="61" t="s">
        <v>3185</v>
      </c>
      <c r="J41" s="61" t="s">
        <v>114</v>
      </c>
      <c r="K41" s="64">
        <v>60</v>
      </c>
      <c r="L41" s="61"/>
      <c r="M41" s="65" t="s">
        <v>1432</v>
      </c>
      <c r="N41" s="61"/>
      <c r="O41" s="61"/>
      <c r="P41" s="61"/>
      <c r="Q41" s="61"/>
      <c r="R41" s="61">
        <v>542805</v>
      </c>
      <c r="S41" s="66" t="s">
        <v>43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243</v>
      </c>
      <c r="B42" s="62">
        <v>46106</v>
      </c>
      <c r="C42" s="63" t="s">
        <v>3186</v>
      </c>
      <c r="D42" s="67">
        <v>60</v>
      </c>
      <c r="E42" s="67"/>
      <c r="F42" s="61" t="str">
        <f t="shared" si="0"/>
        <v>借</v>
      </c>
      <c r="G42" s="64">
        <f>SUM(D$6:E42)</f>
        <v>86624</v>
      </c>
      <c r="H42" s="61"/>
      <c r="I42" s="61" t="s">
        <v>3187</v>
      </c>
      <c r="J42" s="61" t="s">
        <v>114</v>
      </c>
      <c r="K42" s="64">
        <v>60</v>
      </c>
      <c r="L42" s="61"/>
      <c r="M42" s="65" t="s">
        <v>361</v>
      </c>
      <c r="N42" s="61"/>
      <c r="O42" s="61"/>
      <c r="P42" s="61"/>
      <c r="Q42" s="61"/>
      <c r="R42" s="61">
        <v>542797</v>
      </c>
      <c r="S42" s="66" t="s">
        <v>43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243</v>
      </c>
      <c r="B43" s="62">
        <v>46106</v>
      </c>
      <c r="C43" s="63" t="s">
        <v>3188</v>
      </c>
      <c r="D43" s="67">
        <v>63</v>
      </c>
      <c r="E43" s="67"/>
      <c r="F43" s="61" t="str">
        <f t="shared" si="0"/>
        <v>借</v>
      </c>
      <c r="G43" s="64">
        <f>SUM(D$6:E43)</f>
        <v>86687</v>
      </c>
      <c r="H43" s="61"/>
      <c r="I43" s="61" t="s">
        <v>3189</v>
      </c>
      <c r="J43" s="61" t="s">
        <v>114</v>
      </c>
      <c r="K43" s="64">
        <v>63</v>
      </c>
      <c r="L43" s="61"/>
      <c r="M43" s="65" t="s">
        <v>354</v>
      </c>
      <c r="N43" s="61"/>
      <c r="O43" s="61"/>
      <c r="P43" s="61"/>
      <c r="Q43" s="61"/>
      <c r="R43" s="61">
        <v>542805</v>
      </c>
      <c r="S43" s="66" t="s">
        <v>43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243</v>
      </c>
      <c r="B44" s="62">
        <v>46106</v>
      </c>
      <c r="C44" s="63" t="s">
        <v>3190</v>
      </c>
      <c r="D44" s="67">
        <v>64</v>
      </c>
      <c r="E44" s="67"/>
      <c r="F44" s="61" t="str">
        <f t="shared" si="0"/>
        <v>借</v>
      </c>
      <c r="G44" s="64">
        <f>SUM(D$6:E44)</f>
        <v>86751</v>
      </c>
      <c r="H44" s="61"/>
      <c r="I44" s="61" t="s">
        <v>3191</v>
      </c>
      <c r="J44" s="61" t="s">
        <v>114</v>
      </c>
      <c r="K44" s="64">
        <v>64</v>
      </c>
      <c r="L44" s="61"/>
      <c r="M44" s="65" t="s">
        <v>292</v>
      </c>
      <c r="N44" s="61"/>
      <c r="O44" s="61"/>
      <c r="P44" s="61"/>
      <c r="Q44" s="61"/>
      <c r="R44" s="61">
        <v>542805</v>
      </c>
      <c r="S44" s="66" t="s">
        <v>43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243</v>
      </c>
      <c r="B45" s="62">
        <v>46106</v>
      </c>
      <c r="C45" s="63" t="s">
        <v>3192</v>
      </c>
      <c r="D45" s="67">
        <v>64</v>
      </c>
      <c r="E45" s="67"/>
      <c r="F45" s="61" t="str">
        <f t="shared" si="0"/>
        <v>借</v>
      </c>
      <c r="G45" s="64">
        <f>SUM(D$6:E45)</f>
        <v>86815</v>
      </c>
      <c r="H45" s="61"/>
      <c r="I45" s="61" t="s">
        <v>3193</v>
      </c>
      <c r="J45" s="61" t="s">
        <v>114</v>
      </c>
      <c r="K45" s="64">
        <v>64</v>
      </c>
      <c r="L45" s="61"/>
      <c r="M45" s="65" t="s">
        <v>1671</v>
      </c>
      <c r="N45" s="61"/>
      <c r="O45" s="61"/>
      <c r="P45" s="61"/>
      <c r="Q45" s="61"/>
      <c r="R45" s="61">
        <v>542805</v>
      </c>
      <c r="S45" s="66" t="s">
        <v>43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243</v>
      </c>
      <c r="B46" s="62">
        <v>46106</v>
      </c>
      <c r="C46" s="63" t="s">
        <v>3194</v>
      </c>
      <c r="D46" s="67">
        <v>64</v>
      </c>
      <c r="E46" s="67"/>
      <c r="F46" s="61" t="str">
        <f t="shared" si="0"/>
        <v>借</v>
      </c>
      <c r="G46" s="64">
        <f>SUM(D$6:E46)</f>
        <v>86879</v>
      </c>
      <c r="H46" s="61"/>
      <c r="I46" s="61" t="s">
        <v>3195</v>
      </c>
      <c r="J46" s="61" t="s">
        <v>114</v>
      </c>
      <c r="K46" s="64">
        <v>64</v>
      </c>
      <c r="L46" s="61"/>
      <c r="M46" s="65" t="s">
        <v>348</v>
      </c>
      <c r="N46" s="61"/>
      <c r="O46" s="61"/>
      <c r="P46" s="61"/>
      <c r="Q46" s="61"/>
      <c r="R46" s="61">
        <v>542805</v>
      </c>
      <c r="S46" s="66" t="s">
        <v>43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243</v>
      </c>
      <c r="B47" s="62">
        <v>46106</v>
      </c>
      <c r="C47" s="63" t="s">
        <v>3196</v>
      </c>
      <c r="D47" s="67">
        <v>64</v>
      </c>
      <c r="E47" s="67"/>
      <c r="F47" s="61" t="str">
        <f t="shared" si="0"/>
        <v>借</v>
      </c>
      <c r="G47" s="64">
        <f>SUM(D$6:E47)</f>
        <v>86943</v>
      </c>
      <c r="H47" s="61"/>
      <c r="I47" s="61" t="s">
        <v>3197</v>
      </c>
      <c r="J47" s="61" t="s">
        <v>114</v>
      </c>
      <c r="K47" s="64">
        <v>64</v>
      </c>
      <c r="L47" s="61"/>
      <c r="M47" s="65" t="s">
        <v>1646</v>
      </c>
      <c r="N47" s="61"/>
      <c r="O47" s="61"/>
      <c r="P47" s="61"/>
      <c r="Q47" s="61"/>
      <c r="R47" s="61">
        <v>542805</v>
      </c>
      <c r="S47" s="66" t="s">
        <v>43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243</v>
      </c>
      <c r="B48" s="62">
        <v>46106</v>
      </c>
      <c r="C48" s="63" t="s">
        <v>3198</v>
      </c>
      <c r="D48" s="67">
        <v>67</v>
      </c>
      <c r="E48" s="67"/>
      <c r="F48" s="61" t="str">
        <f t="shared" si="0"/>
        <v>借</v>
      </c>
      <c r="G48" s="64">
        <f>SUM(D$6:E48)</f>
        <v>87010</v>
      </c>
      <c r="H48" s="61"/>
      <c r="I48" s="61" t="s">
        <v>3199</v>
      </c>
      <c r="J48" s="61" t="s">
        <v>114</v>
      </c>
      <c r="K48" s="64">
        <v>67</v>
      </c>
      <c r="L48" s="61"/>
      <c r="M48" s="65" t="s">
        <v>3200</v>
      </c>
      <c r="N48" s="61"/>
      <c r="O48" s="61"/>
      <c r="P48" s="61"/>
      <c r="Q48" s="61"/>
      <c r="R48" s="61">
        <v>542805</v>
      </c>
      <c r="S48" s="66" t="s">
        <v>43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243</v>
      </c>
      <c r="B49" s="62">
        <v>46106</v>
      </c>
      <c r="C49" s="63" t="s">
        <v>3201</v>
      </c>
      <c r="D49" s="67">
        <v>68</v>
      </c>
      <c r="E49" s="67"/>
      <c r="F49" s="61" t="str">
        <f t="shared" si="0"/>
        <v>借</v>
      </c>
      <c r="G49" s="64">
        <f>SUM(D$6:E49)</f>
        <v>87078</v>
      </c>
      <c r="H49" s="61"/>
      <c r="I49" s="61" t="s">
        <v>3202</v>
      </c>
      <c r="J49" s="61" t="s">
        <v>114</v>
      </c>
      <c r="K49" s="64">
        <v>68</v>
      </c>
      <c r="L49" s="61"/>
      <c r="M49" s="65" t="s">
        <v>367</v>
      </c>
      <c r="N49" s="61"/>
      <c r="O49" s="61"/>
      <c r="P49" s="61"/>
      <c r="Q49" s="61"/>
      <c r="R49" s="61">
        <v>542805</v>
      </c>
      <c r="S49" s="66" t="s">
        <v>43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243</v>
      </c>
      <c r="B50" s="62">
        <v>46106</v>
      </c>
      <c r="C50" s="63" t="s">
        <v>3203</v>
      </c>
      <c r="D50" s="67">
        <v>68</v>
      </c>
      <c r="E50" s="67"/>
      <c r="F50" s="61" t="str">
        <f t="shared" si="0"/>
        <v>借</v>
      </c>
      <c r="G50" s="64">
        <f>SUM(D$6:E50)</f>
        <v>87146</v>
      </c>
      <c r="H50" s="61"/>
      <c r="I50" s="61" t="s">
        <v>3204</v>
      </c>
      <c r="J50" s="61" t="s">
        <v>114</v>
      </c>
      <c r="K50" s="64">
        <v>68</v>
      </c>
      <c r="L50" s="61"/>
      <c r="M50" s="65" t="s">
        <v>283</v>
      </c>
      <c r="N50" s="61"/>
      <c r="O50" s="61"/>
      <c r="P50" s="61"/>
      <c r="Q50" s="61"/>
      <c r="R50" s="61">
        <v>542805</v>
      </c>
      <c r="S50" s="66" t="s">
        <v>43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243</v>
      </c>
      <c r="B51" s="62">
        <v>46106</v>
      </c>
      <c r="C51" s="63" t="s">
        <v>3205</v>
      </c>
      <c r="D51" s="67">
        <v>71</v>
      </c>
      <c r="E51" s="67"/>
      <c r="F51" s="61" t="str">
        <f t="shared" si="0"/>
        <v>借</v>
      </c>
      <c r="G51" s="64">
        <f>SUM(D$6:E51)</f>
        <v>87217</v>
      </c>
      <c r="H51" s="61"/>
      <c r="I51" s="61" t="s">
        <v>3206</v>
      </c>
      <c r="J51" s="61" t="s">
        <v>114</v>
      </c>
      <c r="K51" s="64">
        <v>71</v>
      </c>
      <c r="L51" s="61"/>
      <c r="M51" s="65" t="s">
        <v>267</v>
      </c>
      <c r="N51" s="61"/>
      <c r="O51" s="61"/>
      <c r="P51" s="61"/>
      <c r="Q51" s="61"/>
      <c r="R51" s="61">
        <v>542797</v>
      </c>
      <c r="S51" s="66" t="s">
        <v>43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243</v>
      </c>
      <c r="B52" s="62">
        <v>46106</v>
      </c>
      <c r="C52" s="63" t="s">
        <v>3207</v>
      </c>
      <c r="D52" s="67">
        <v>72</v>
      </c>
      <c r="E52" s="67"/>
      <c r="F52" s="61" t="str">
        <f t="shared" si="0"/>
        <v>借</v>
      </c>
      <c r="G52" s="64">
        <f>SUM(D$6:E52)</f>
        <v>87289</v>
      </c>
      <c r="H52" s="61"/>
      <c r="I52" s="61" t="s">
        <v>3208</v>
      </c>
      <c r="J52" s="61" t="s">
        <v>114</v>
      </c>
      <c r="K52" s="64">
        <v>72</v>
      </c>
      <c r="L52" s="61"/>
      <c r="M52" s="65" t="s">
        <v>1447</v>
      </c>
      <c r="N52" s="61"/>
      <c r="O52" s="61"/>
      <c r="P52" s="61"/>
      <c r="Q52" s="61"/>
      <c r="R52" s="61">
        <v>542805</v>
      </c>
      <c r="S52" s="66" t="s">
        <v>43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243</v>
      </c>
      <c r="B53" s="62">
        <v>46106</v>
      </c>
      <c r="C53" s="63" t="s">
        <v>3209</v>
      </c>
      <c r="D53" s="67">
        <v>72</v>
      </c>
      <c r="E53" s="67"/>
      <c r="F53" s="61" t="str">
        <f t="shared" si="0"/>
        <v>借</v>
      </c>
      <c r="G53" s="64">
        <f>SUM(D$6:E53)</f>
        <v>87361</v>
      </c>
      <c r="H53" s="61"/>
      <c r="I53" s="61" t="s">
        <v>3210</v>
      </c>
      <c r="J53" s="61" t="s">
        <v>114</v>
      </c>
      <c r="K53" s="64">
        <v>72</v>
      </c>
      <c r="L53" s="61"/>
      <c r="M53" s="65" t="s">
        <v>1090</v>
      </c>
      <c r="N53" s="61"/>
      <c r="O53" s="61"/>
      <c r="P53" s="61"/>
      <c r="Q53" s="61"/>
      <c r="R53" s="61">
        <v>542805</v>
      </c>
      <c r="S53" s="66" t="s">
        <v>43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243</v>
      </c>
      <c r="B54" s="62">
        <v>46106</v>
      </c>
      <c r="C54" s="63" t="s">
        <v>3211</v>
      </c>
      <c r="D54" s="67">
        <v>72</v>
      </c>
      <c r="E54" s="67"/>
      <c r="F54" s="61" t="str">
        <f t="shared" si="0"/>
        <v>借</v>
      </c>
      <c r="G54" s="64">
        <f>SUM(D$6:E54)</f>
        <v>87433</v>
      </c>
      <c r="H54" s="61"/>
      <c r="I54" s="61" t="s">
        <v>3212</v>
      </c>
      <c r="J54" s="61" t="s">
        <v>114</v>
      </c>
      <c r="K54" s="64">
        <v>72</v>
      </c>
      <c r="L54" s="61"/>
      <c r="M54" s="65" t="s">
        <v>1434</v>
      </c>
      <c r="N54" s="61"/>
      <c r="O54" s="61"/>
      <c r="P54" s="61"/>
      <c r="Q54" s="61"/>
      <c r="R54" s="61">
        <v>542805</v>
      </c>
      <c r="S54" s="66" t="s">
        <v>43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243</v>
      </c>
      <c r="B55" s="62">
        <v>46106</v>
      </c>
      <c r="C55" s="63" t="s">
        <v>3213</v>
      </c>
      <c r="D55" s="67">
        <v>72</v>
      </c>
      <c r="E55" s="67"/>
      <c r="F55" s="61" t="str">
        <f t="shared" si="0"/>
        <v>借</v>
      </c>
      <c r="G55" s="64">
        <f>SUM(D$6:E55)</f>
        <v>87505</v>
      </c>
      <c r="H55" s="61"/>
      <c r="I55" s="61" t="s">
        <v>3214</v>
      </c>
      <c r="J55" s="61" t="s">
        <v>114</v>
      </c>
      <c r="K55" s="64">
        <v>72</v>
      </c>
      <c r="L55" s="61"/>
      <c r="M55" s="65" t="s">
        <v>1889</v>
      </c>
      <c r="N55" s="61"/>
      <c r="O55" s="61"/>
      <c r="P55" s="61"/>
      <c r="Q55" s="61"/>
      <c r="R55" s="61">
        <v>542805</v>
      </c>
      <c r="S55" s="66" t="s">
        <v>43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243</v>
      </c>
      <c r="B56" s="62">
        <v>46106</v>
      </c>
      <c r="C56" s="63" t="s">
        <v>3215</v>
      </c>
      <c r="D56" s="67">
        <v>75</v>
      </c>
      <c r="E56" s="67"/>
      <c r="F56" s="61" t="str">
        <f t="shared" si="0"/>
        <v>借</v>
      </c>
      <c r="G56" s="64">
        <f>SUM(D$6:E56)</f>
        <v>87580</v>
      </c>
      <c r="H56" s="61"/>
      <c r="I56" s="61" t="s">
        <v>3216</v>
      </c>
      <c r="J56" s="61" t="s">
        <v>114</v>
      </c>
      <c r="K56" s="64">
        <v>75</v>
      </c>
      <c r="L56" s="61"/>
      <c r="M56" s="65" t="s">
        <v>1017</v>
      </c>
      <c r="N56" s="61"/>
      <c r="O56" s="61"/>
      <c r="P56" s="61"/>
      <c r="Q56" s="61"/>
      <c r="R56" s="61">
        <v>542797</v>
      </c>
      <c r="S56" s="66" t="s">
        <v>43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243</v>
      </c>
      <c r="B57" s="62">
        <v>46106</v>
      </c>
      <c r="C57" s="63" t="s">
        <v>3217</v>
      </c>
      <c r="D57" s="67">
        <v>75</v>
      </c>
      <c r="E57" s="67"/>
      <c r="F57" s="61" t="str">
        <f t="shared" si="0"/>
        <v>借</v>
      </c>
      <c r="G57" s="64">
        <f>SUM(D$6:E57)</f>
        <v>87655</v>
      </c>
      <c r="H57" s="61"/>
      <c r="I57" s="61" t="s">
        <v>3218</v>
      </c>
      <c r="J57" s="61" t="s">
        <v>114</v>
      </c>
      <c r="K57" s="64">
        <v>75</v>
      </c>
      <c r="L57" s="61"/>
      <c r="M57" s="65" t="s">
        <v>325</v>
      </c>
      <c r="N57" s="61"/>
      <c r="O57" s="61"/>
      <c r="P57" s="61"/>
      <c r="Q57" s="61"/>
      <c r="R57" s="61">
        <v>542805</v>
      </c>
      <c r="S57" s="66" t="s">
        <v>43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243</v>
      </c>
      <c r="B58" s="62">
        <v>46106</v>
      </c>
      <c r="C58" s="63" t="s">
        <v>3219</v>
      </c>
      <c r="D58" s="67">
        <v>76</v>
      </c>
      <c r="E58" s="67"/>
      <c r="F58" s="61" t="str">
        <f t="shared" si="0"/>
        <v>借</v>
      </c>
      <c r="G58" s="64">
        <f>SUM(D$6:E58)</f>
        <v>87731</v>
      </c>
      <c r="H58" s="61"/>
      <c r="I58" s="61" t="s">
        <v>3220</v>
      </c>
      <c r="J58" s="61" t="s">
        <v>114</v>
      </c>
      <c r="K58" s="64">
        <v>76</v>
      </c>
      <c r="L58" s="61"/>
      <c r="M58" s="65" t="s">
        <v>1662</v>
      </c>
      <c r="N58" s="61"/>
      <c r="O58" s="61"/>
      <c r="P58" s="61"/>
      <c r="Q58" s="61"/>
      <c r="R58" s="61">
        <v>542805</v>
      </c>
      <c r="S58" s="66" t="s">
        <v>43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243</v>
      </c>
      <c r="B59" s="62">
        <v>46106</v>
      </c>
      <c r="C59" s="63" t="s">
        <v>3221</v>
      </c>
      <c r="D59" s="67">
        <v>80</v>
      </c>
      <c r="E59" s="67"/>
      <c r="F59" s="61" t="str">
        <f t="shared" si="0"/>
        <v>借</v>
      </c>
      <c r="G59" s="64">
        <f>SUM(D$6:E59)</f>
        <v>87811</v>
      </c>
      <c r="H59" s="61"/>
      <c r="I59" s="61" t="s">
        <v>3222</v>
      </c>
      <c r="J59" s="61" t="s">
        <v>114</v>
      </c>
      <c r="K59" s="64">
        <v>80</v>
      </c>
      <c r="L59" s="61"/>
      <c r="M59" s="65" t="s">
        <v>1641</v>
      </c>
      <c r="N59" s="61"/>
      <c r="O59" s="61"/>
      <c r="P59" s="61"/>
      <c r="Q59" s="61"/>
      <c r="R59" s="61">
        <v>542805</v>
      </c>
      <c r="S59" s="66" t="s">
        <v>43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243</v>
      </c>
      <c r="B60" s="62">
        <v>46106</v>
      </c>
      <c r="C60" s="63" t="s">
        <v>3223</v>
      </c>
      <c r="D60" s="67">
        <v>80</v>
      </c>
      <c r="E60" s="67"/>
      <c r="F60" s="61" t="str">
        <f t="shared" si="0"/>
        <v>借</v>
      </c>
      <c r="G60" s="64">
        <f>SUM(D$6:E60)</f>
        <v>87891</v>
      </c>
      <c r="H60" s="61"/>
      <c r="I60" s="61" t="s">
        <v>3224</v>
      </c>
      <c r="J60" s="61" t="s">
        <v>114</v>
      </c>
      <c r="K60" s="64">
        <v>80</v>
      </c>
      <c r="L60" s="61"/>
      <c r="M60" s="65" t="s">
        <v>370</v>
      </c>
      <c r="N60" s="61"/>
      <c r="O60" s="61"/>
      <c r="P60" s="61"/>
      <c r="Q60" s="61"/>
      <c r="R60" s="61">
        <v>542805</v>
      </c>
      <c r="S60" s="66" t="s">
        <v>43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243</v>
      </c>
      <c r="B61" s="62">
        <v>46106</v>
      </c>
      <c r="C61" s="63" t="s">
        <v>3225</v>
      </c>
      <c r="D61" s="67">
        <v>84</v>
      </c>
      <c r="E61" s="67"/>
      <c r="F61" s="61" t="str">
        <f t="shared" si="0"/>
        <v>借</v>
      </c>
      <c r="G61" s="64">
        <f>SUM(D$6:E61)</f>
        <v>87975</v>
      </c>
      <c r="H61" s="61"/>
      <c r="I61" s="61" t="s">
        <v>3226</v>
      </c>
      <c r="J61" s="61" t="s">
        <v>114</v>
      </c>
      <c r="K61" s="64">
        <v>84</v>
      </c>
      <c r="L61" s="61"/>
      <c r="M61" s="65" t="s">
        <v>1093</v>
      </c>
      <c r="N61" s="61"/>
      <c r="O61" s="61"/>
      <c r="P61" s="61"/>
      <c r="Q61" s="61"/>
      <c r="R61" s="61">
        <v>542805</v>
      </c>
      <c r="S61" s="66" t="s">
        <v>43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243</v>
      </c>
      <c r="B62" s="62">
        <v>46106</v>
      </c>
      <c r="C62" s="63" t="s">
        <v>3227</v>
      </c>
      <c r="D62" s="67">
        <v>87</v>
      </c>
      <c r="E62" s="67"/>
      <c r="F62" s="61" t="str">
        <f t="shared" si="0"/>
        <v>借</v>
      </c>
      <c r="G62" s="64">
        <f>SUM(D$6:E62)</f>
        <v>88062</v>
      </c>
      <c r="H62" s="61"/>
      <c r="I62" s="61" t="s">
        <v>3228</v>
      </c>
      <c r="J62" s="61" t="s">
        <v>114</v>
      </c>
      <c r="K62" s="64">
        <v>87</v>
      </c>
      <c r="L62" s="61"/>
      <c r="M62" s="65" t="s">
        <v>366</v>
      </c>
      <c r="N62" s="61"/>
      <c r="O62" s="61"/>
      <c r="P62" s="61"/>
      <c r="Q62" s="61"/>
      <c r="R62" s="61">
        <v>542805</v>
      </c>
      <c r="S62" s="66" t="s">
        <v>43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243</v>
      </c>
      <c r="B63" s="62">
        <v>46106</v>
      </c>
      <c r="C63" s="63" t="s">
        <v>3229</v>
      </c>
      <c r="D63" s="67">
        <v>92</v>
      </c>
      <c r="E63" s="67"/>
      <c r="F63" s="61" t="str">
        <f t="shared" si="0"/>
        <v>借</v>
      </c>
      <c r="G63" s="64">
        <f>SUM(D$6:E63)</f>
        <v>88154</v>
      </c>
      <c r="H63" s="61"/>
      <c r="I63" s="61" t="s">
        <v>3230</v>
      </c>
      <c r="J63" s="61" t="s">
        <v>114</v>
      </c>
      <c r="K63" s="64">
        <v>92</v>
      </c>
      <c r="L63" s="61"/>
      <c r="M63" s="65" t="s">
        <v>383</v>
      </c>
      <c r="N63" s="61"/>
      <c r="O63" s="61"/>
      <c r="P63" s="61"/>
      <c r="Q63" s="61"/>
      <c r="R63" s="61">
        <v>542805</v>
      </c>
      <c r="S63" s="66" t="s">
        <v>43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243</v>
      </c>
      <c r="B64" s="62">
        <v>46106</v>
      </c>
      <c r="C64" s="63" t="s">
        <v>3231</v>
      </c>
      <c r="D64" s="67">
        <v>92</v>
      </c>
      <c r="E64" s="67"/>
      <c r="F64" s="61" t="str">
        <f t="shared" si="0"/>
        <v>借</v>
      </c>
      <c r="G64" s="64">
        <f>SUM(D$6:E64)</f>
        <v>88246</v>
      </c>
      <c r="H64" s="61"/>
      <c r="I64" s="61" t="s">
        <v>3232</v>
      </c>
      <c r="J64" s="61" t="s">
        <v>114</v>
      </c>
      <c r="K64" s="64">
        <v>92</v>
      </c>
      <c r="L64" s="61"/>
      <c r="M64" s="65" t="s">
        <v>301</v>
      </c>
      <c r="N64" s="61"/>
      <c r="O64" s="61"/>
      <c r="P64" s="61"/>
      <c r="Q64" s="61"/>
      <c r="R64" s="61">
        <v>542797</v>
      </c>
      <c r="S64" s="66" t="s">
        <v>43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243</v>
      </c>
      <c r="B65" s="62">
        <v>46106</v>
      </c>
      <c r="C65" s="63" t="s">
        <v>3233</v>
      </c>
      <c r="D65" s="67">
        <v>92</v>
      </c>
      <c r="E65" s="67"/>
      <c r="F65" s="61" t="str">
        <f t="shared" si="0"/>
        <v>借</v>
      </c>
      <c r="G65" s="64">
        <f>SUM(D$6:E65)</f>
        <v>88338</v>
      </c>
      <c r="H65" s="61"/>
      <c r="I65" s="61" t="s">
        <v>3234</v>
      </c>
      <c r="J65" s="61" t="s">
        <v>114</v>
      </c>
      <c r="K65" s="64">
        <v>92</v>
      </c>
      <c r="L65" s="61"/>
      <c r="M65" s="65" t="s">
        <v>979</v>
      </c>
      <c r="N65" s="61"/>
      <c r="O65" s="61"/>
      <c r="P65" s="61"/>
      <c r="Q65" s="61"/>
      <c r="R65" s="61">
        <v>542797</v>
      </c>
      <c r="S65" s="66" t="s">
        <v>43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243</v>
      </c>
      <c r="B66" s="62">
        <v>46106</v>
      </c>
      <c r="C66" s="63" t="s">
        <v>3235</v>
      </c>
      <c r="D66" s="67">
        <v>92</v>
      </c>
      <c r="E66" s="67"/>
      <c r="F66" s="61" t="str">
        <f t="shared" si="0"/>
        <v>借</v>
      </c>
      <c r="G66" s="64">
        <f>SUM(D$6:E66)</f>
        <v>88430</v>
      </c>
      <c r="H66" s="61"/>
      <c r="I66" s="61" t="s">
        <v>3236</v>
      </c>
      <c r="J66" s="61" t="s">
        <v>114</v>
      </c>
      <c r="K66" s="64">
        <v>92</v>
      </c>
      <c r="L66" s="61"/>
      <c r="M66" s="65" t="s">
        <v>358</v>
      </c>
      <c r="N66" s="61"/>
      <c r="O66" s="61"/>
      <c r="P66" s="61"/>
      <c r="Q66" s="61"/>
      <c r="R66" s="61">
        <v>542797</v>
      </c>
      <c r="S66" s="66" t="s">
        <v>43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243</v>
      </c>
      <c r="B67" s="62">
        <v>46106</v>
      </c>
      <c r="C67" s="63" t="s">
        <v>3237</v>
      </c>
      <c r="D67" s="67">
        <v>92</v>
      </c>
      <c r="E67" s="67"/>
      <c r="F67" s="61" t="str">
        <f t="shared" si="0"/>
        <v>借</v>
      </c>
      <c r="G67" s="64">
        <f>SUM(D$6:E67)</f>
        <v>88522</v>
      </c>
      <c r="H67" s="61"/>
      <c r="I67" s="61" t="s">
        <v>3238</v>
      </c>
      <c r="J67" s="61" t="s">
        <v>114</v>
      </c>
      <c r="K67" s="64">
        <v>92</v>
      </c>
      <c r="L67" s="61"/>
      <c r="M67" s="65" t="s">
        <v>356</v>
      </c>
      <c r="N67" s="61"/>
      <c r="O67" s="61"/>
      <c r="P67" s="61"/>
      <c r="Q67" s="61"/>
      <c r="R67" s="61">
        <v>542797</v>
      </c>
      <c r="S67" s="66" t="s">
        <v>43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243</v>
      </c>
      <c r="B68" s="62">
        <v>46106</v>
      </c>
      <c r="C68" s="63" t="s">
        <v>3239</v>
      </c>
      <c r="D68" s="67">
        <v>95</v>
      </c>
      <c r="E68" s="67"/>
      <c r="F68" s="61" t="str">
        <f t="shared" si="0"/>
        <v>借</v>
      </c>
      <c r="G68" s="64">
        <f>SUM(D$6:E68)</f>
        <v>88617</v>
      </c>
      <c r="H68" s="61"/>
      <c r="I68" s="61" t="s">
        <v>3240</v>
      </c>
      <c r="J68" s="61" t="s">
        <v>114</v>
      </c>
      <c r="K68" s="64">
        <v>95</v>
      </c>
      <c r="L68" s="61"/>
      <c r="M68" s="65" t="s">
        <v>303</v>
      </c>
      <c r="N68" s="61"/>
      <c r="O68" s="61"/>
      <c r="P68" s="61"/>
      <c r="Q68" s="61"/>
      <c r="R68" s="61">
        <v>542797</v>
      </c>
      <c r="S68" s="66" t="s">
        <v>43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243</v>
      </c>
      <c r="B69" s="62">
        <v>46106</v>
      </c>
      <c r="C69" s="63" t="s">
        <v>3241</v>
      </c>
      <c r="D69" s="67">
        <v>96</v>
      </c>
      <c r="E69" s="67"/>
      <c r="F69" s="61" t="str">
        <f t="shared" si="0"/>
        <v>借</v>
      </c>
      <c r="G69" s="64">
        <f>SUM(D$6:E69)</f>
        <v>88713</v>
      </c>
      <c r="H69" s="61"/>
      <c r="I69" s="61" t="s">
        <v>3242</v>
      </c>
      <c r="J69" s="61" t="s">
        <v>114</v>
      </c>
      <c r="K69" s="64">
        <v>96</v>
      </c>
      <c r="L69" s="61"/>
      <c r="M69" s="65" t="s">
        <v>298</v>
      </c>
      <c r="N69" s="61"/>
      <c r="O69" s="61"/>
      <c r="P69" s="61"/>
      <c r="Q69" s="61"/>
      <c r="R69" s="61">
        <v>542797</v>
      </c>
      <c r="S69" s="66" t="s">
        <v>43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243</v>
      </c>
      <c r="B70" s="62">
        <v>46106</v>
      </c>
      <c r="C70" s="63" t="s">
        <v>3243</v>
      </c>
      <c r="D70" s="67">
        <v>96</v>
      </c>
      <c r="E70" s="67"/>
      <c r="F70" s="61" t="str">
        <f t="shared" si="0"/>
        <v>借</v>
      </c>
      <c r="G70" s="64">
        <f>SUM(D$6:E70)</f>
        <v>88809</v>
      </c>
      <c r="H70" s="61"/>
      <c r="I70" s="61" t="s">
        <v>3244</v>
      </c>
      <c r="J70" s="61" t="s">
        <v>114</v>
      </c>
      <c r="K70" s="64">
        <v>96</v>
      </c>
      <c r="L70" s="61"/>
      <c r="M70" s="65" t="s">
        <v>1100</v>
      </c>
      <c r="N70" s="61"/>
      <c r="O70" s="61"/>
      <c r="P70" s="61"/>
      <c r="Q70" s="61"/>
      <c r="R70" s="61">
        <v>542797</v>
      </c>
      <c r="S70" s="66" t="s">
        <v>43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243</v>
      </c>
      <c r="B71" s="62">
        <v>46106</v>
      </c>
      <c r="C71" s="63" t="s">
        <v>3245</v>
      </c>
      <c r="D71" s="67">
        <v>100</v>
      </c>
      <c r="E71" s="67"/>
      <c r="F71" s="61" t="str">
        <f t="shared" ref="F71:F134" si="1">IF(G71&gt;0,"借","貸")</f>
        <v>借</v>
      </c>
      <c r="G71" s="64">
        <f>SUM(D$6:E71)</f>
        <v>88909</v>
      </c>
      <c r="H71" s="61"/>
      <c r="I71" s="61" t="s">
        <v>3246</v>
      </c>
      <c r="J71" s="61" t="s">
        <v>114</v>
      </c>
      <c r="K71" s="64">
        <v>100</v>
      </c>
      <c r="L71" s="61"/>
      <c r="M71" s="65" t="s">
        <v>1474</v>
      </c>
      <c r="N71" s="61"/>
      <c r="O71" s="61"/>
      <c r="P71" s="61"/>
      <c r="Q71" s="61"/>
      <c r="R71" s="61">
        <v>542805</v>
      </c>
      <c r="S71" s="66" t="s">
        <v>43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243</v>
      </c>
      <c r="B72" s="62">
        <v>46106</v>
      </c>
      <c r="C72" s="63" t="s">
        <v>3247</v>
      </c>
      <c r="D72" s="67">
        <v>104</v>
      </c>
      <c r="E72" s="67"/>
      <c r="F72" s="61" t="str">
        <f t="shared" si="1"/>
        <v>借</v>
      </c>
      <c r="G72" s="64">
        <f>SUM(D$6:E72)</f>
        <v>89013</v>
      </c>
      <c r="H72" s="61"/>
      <c r="I72" s="61" t="s">
        <v>3248</v>
      </c>
      <c r="J72" s="61" t="s">
        <v>114</v>
      </c>
      <c r="K72" s="64">
        <v>104</v>
      </c>
      <c r="L72" s="61"/>
      <c r="M72" s="65" t="s">
        <v>269</v>
      </c>
      <c r="N72" s="61"/>
      <c r="O72" s="61"/>
      <c r="P72" s="61"/>
      <c r="Q72" s="61"/>
      <c r="R72" s="61">
        <v>542805</v>
      </c>
      <c r="S72" s="66" t="s">
        <v>43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243</v>
      </c>
      <c r="B73" s="62">
        <v>46106</v>
      </c>
      <c r="C73" s="63" t="s">
        <v>3249</v>
      </c>
      <c r="D73" s="67">
        <v>104</v>
      </c>
      <c r="E73" s="67"/>
      <c r="F73" s="61" t="str">
        <f t="shared" si="1"/>
        <v>借</v>
      </c>
      <c r="G73" s="64">
        <f>SUM(D$6:E73)</f>
        <v>89117</v>
      </c>
      <c r="H73" s="61"/>
      <c r="I73" s="61" t="s">
        <v>3250</v>
      </c>
      <c r="J73" s="61" t="s">
        <v>114</v>
      </c>
      <c r="K73" s="64">
        <v>104</v>
      </c>
      <c r="L73" s="61"/>
      <c r="M73" s="65" t="s">
        <v>1650</v>
      </c>
      <c r="N73" s="61"/>
      <c r="O73" s="61"/>
      <c r="P73" s="61"/>
      <c r="Q73" s="61"/>
      <c r="R73" s="61">
        <v>542805</v>
      </c>
      <c r="S73" s="66" t="s">
        <v>43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243</v>
      </c>
      <c r="B74" s="62">
        <v>46106</v>
      </c>
      <c r="C74" s="63" t="s">
        <v>3251</v>
      </c>
      <c r="D74" s="67">
        <v>108</v>
      </c>
      <c r="E74" s="67"/>
      <c r="F74" s="61" t="str">
        <f t="shared" si="1"/>
        <v>借</v>
      </c>
      <c r="G74" s="64">
        <f>SUM(D$6:E74)</f>
        <v>89225</v>
      </c>
      <c r="H74" s="61"/>
      <c r="I74" s="61" t="s">
        <v>3252</v>
      </c>
      <c r="J74" s="61" t="s">
        <v>114</v>
      </c>
      <c r="K74" s="64">
        <v>108</v>
      </c>
      <c r="L74" s="61"/>
      <c r="M74" s="65" t="s">
        <v>279</v>
      </c>
      <c r="N74" s="61"/>
      <c r="O74" s="61"/>
      <c r="P74" s="61"/>
      <c r="Q74" s="61"/>
      <c r="R74" s="61">
        <v>542797</v>
      </c>
      <c r="S74" s="66" t="s">
        <v>43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243</v>
      </c>
      <c r="B75" s="62">
        <v>46106</v>
      </c>
      <c r="C75" s="63" t="s">
        <v>3253</v>
      </c>
      <c r="D75" s="67">
        <v>112</v>
      </c>
      <c r="E75" s="67"/>
      <c r="F75" s="61" t="str">
        <f t="shared" si="1"/>
        <v>借</v>
      </c>
      <c r="G75" s="64">
        <f>SUM(D$6:E75)</f>
        <v>89337</v>
      </c>
      <c r="H75" s="61"/>
      <c r="I75" s="61" t="s">
        <v>3254</v>
      </c>
      <c r="J75" s="61" t="s">
        <v>114</v>
      </c>
      <c r="K75" s="64">
        <v>112</v>
      </c>
      <c r="L75" s="61"/>
      <c r="M75" s="65" t="s">
        <v>1734</v>
      </c>
      <c r="N75" s="61"/>
      <c r="O75" s="61"/>
      <c r="P75" s="61"/>
      <c r="Q75" s="61"/>
      <c r="R75" s="61">
        <v>542805</v>
      </c>
      <c r="S75" s="66" t="s">
        <v>43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243</v>
      </c>
      <c r="B76" s="62">
        <v>46106</v>
      </c>
      <c r="C76" s="63" t="s">
        <v>3255</v>
      </c>
      <c r="D76" s="67">
        <v>116</v>
      </c>
      <c r="E76" s="67"/>
      <c r="F76" s="61" t="str">
        <f t="shared" si="1"/>
        <v>借</v>
      </c>
      <c r="G76" s="64">
        <f>SUM(D$6:E76)</f>
        <v>89453</v>
      </c>
      <c r="H76" s="61"/>
      <c r="I76" s="61" t="s">
        <v>3256</v>
      </c>
      <c r="J76" s="61" t="s">
        <v>114</v>
      </c>
      <c r="K76" s="64">
        <v>116</v>
      </c>
      <c r="L76" s="61"/>
      <c r="M76" s="65" t="s">
        <v>286</v>
      </c>
      <c r="N76" s="61"/>
      <c r="O76" s="61"/>
      <c r="P76" s="61"/>
      <c r="Q76" s="61"/>
      <c r="R76" s="61">
        <v>542805</v>
      </c>
      <c r="S76" s="66" t="s">
        <v>43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61" t="s">
        <v>243</v>
      </c>
      <c r="B77" s="62">
        <v>46106</v>
      </c>
      <c r="C77" s="63" t="s">
        <v>3257</v>
      </c>
      <c r="D77" s="67">
        <v>120</v>
      </c>
      <c r="E77" s="67"/>
      <c r="F77" s="61" t="str">
        <f t="shared" si="1"/>
        <v>借</v>
      </c>
      <c r="G77" s="64">
        <f>SUM(D$6:E77)</f>
        <v>89573</v>
      </c>
      <c r="H77" s="61"/>
      <c r="I77" s="61" t="s">
        <v>3258</v>
      </c>
      <c r="J77" s="61" t="s">
        <v>114</v>
      </c>
      <c r="K77" s="64">
        <v>120</v>
      </c>
      <c r="L77" s="61"/>
      <c r="M77" s="65" t="s">
        <v>288</v>
      </c>
      <c r="N77" s="61"/>
      <c r="O77" s="61"/>
      <c r="P77" s="61"/>
      <c r="Q77" s="61"/>
      <c r="R77" s="61">
        <v>542797</v>
      </c>
      <c r="S77" s="66" t="s">
        <v>43</v>
      </c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61" t="s">
        <v>243</v>
      </c>
      <c r="B78" s="62">
        <v>46106</v>
      </c>
      <c r="C78" s="63" t="s">
        <v>3259</v>
      </c>
      <c r="D78" s="67">
        <v>128</v>
      </c>
      <c r="E78" s="67"/>
      <c r="F78" s="61" t="str">
        <f t="shared" si="1"/>
        <v>借</v>
      </c>
      <c r="G78" s="64">
        <f>SUM(D$6:E78)</f>
        <v>89701</v>
      </c>
      <c r="H78" s="61"/>
      <c r="I78" s="61" t="s">
        <v>3260</v>
      </c>
      <c r="J78" s="61" t="s">
        <v>114</v>
      </c>
      <c r="K78" s="64">
        <v>128</v>
      </c>
      <c r="L78" s="61"/>
      <c r="M78" s="65" t="s">
        <v>297</v>
      </c>
      <c r="N78" s="61"/>
      <c r="O78" s="61"/>
      <c r="P78" s="61"/>
      <c r="Q78" s="61"/>
      <c r="R78" s="61">
        <v>542805</v>
      </c>
      <c r="S78" s="66" t="s">
        <v>43</v>
      </c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61" t="s">
        <v>243</v>
      </c>
      <c r="B79" s="62">
        <v>46106</v>
      </c>
      <c r="C79" s="63" t="s">
        <v>3261</v>
      </c>
      <c r="D79" s="67">
        <v>128</v>
      </c>
      <c r="E79" s="67"/>
      <c r="F79" s="61" t="str">
        <f t="shared" si="1"/>
        <v>借</v>
      </c>
      <c r="G79" s="64">
        <f>SUM(D$6:E79)</f>
        <v>89829</v>
      </c>
      <c r="H79" s="61"/>
      <c r="I79" s="61" t="s">
        <v>3262</v>
      </c>
      <c r="J79" s="61" t="s">
        <v>114</v>
      </c>
      <c r="K79" s="64">
        <v>128</v>
      </c>
      <c r="L79" s="61"/>
      <c r="M79" s="65" t="s">
        <v>1474</v>
      </c>
      <c r="N79" s="61"/>
      <c r="O79" s="61"/>
      <c r="P79" s="61"/>
      <c r="Q79" s="61"/>
      <c r="R79" s="61">
        <v>542797</v>
      </c>
      <c r="S79" s="66" t="s">
        <v>43</v>
      </c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 s="61" t="s">
        <v>243</v>
      </c>
      <c r="B80" s="62">
        <v>46106</v>
      </c>
      <c r="C80" s="63" t="s">
        <v>3263</v>
      </c>
      <c r="D80" s="67">
        <v>131</v>
      </c>
      <c r="E80" s="67"/>
      <c r="F80" s="61" t="str">
        <f t="shared" si="1"/>
        <v>借</v>
      </c>
      <c r="G80" s="64">
        <f>SUM(D$6:E80)</f>
        <v>89960</v>
      </c>
      <c r="H80" s="61"/>
      <c r="I80" s="61" t="s">
        <v>3264</v>
      </c>
      <c r="J80" s="61" t="s">
        <v>114</v>
      </c>
      <c r="K80" s="64">
        <v>131</v>
      </c>
      <c r="L80" s="61"/>
      <c r="M80" s="65" t="s">
        <v>294</v>
      </c>
      <c r="N80" s="61"/>
      <c r="O80" s="61"/>
      <c r="P80" s="61"/>
      <c r="Q80" s="61"/>
      <c r="R80" s="61">
        <v>542805</v>
      </c>
      <c r="S80" s="66" t="s">
        <v>43</v>
      </c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 s="61" t="s">
        <v>243</v>
      </c>
      <c r="B81" s="62">
        <v>46106</v>
      </c>
      <c r="C81" s="63" t="s">
        <v>3265</v>
      </c>
      <c r="D81" s="67">
        <v>132</v>
      </c>
      <c r="E81" s="67"/>
      <c r="F81" s="61" t="str">
        <f t="shared" si="1"/>
        <v>借</v>
      </c>
      <c r="G81" s="64">
        <f>SUM(D$6:E81)</f>
        <v>90092</v>
      </c>
      <c r="H81" s="61"/>
      <c r="I81" s="61" t="s">
        <v>3266</v>
      </c>
      <c r="J81" s="61" t="s">
        <v>114</v>
      </c>
      <c r="K81" s="64">
        <v>132</v>
      </c>
      <c r="L81" s="61"/>
      <c r="M81" s="65" t="s">
        <v>1619</v>
      </c>
      <c r="N81" s="61"/>
      <c r="O81" s="61"/>
      <c r="P81" s="61"/>
      <c r="Q81" s="61"/>
      <c r="R81" s="61">
        <v>542805</v>
      </c>
      <c r="S81" s="66" t="s">
        <v>43</v>
      </c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 s="61" t="s">
        <v>243</v>
      </c>
      <c r="B82" s="62">
        <v>46106</v>
      </c>
      <c r="C82" s="63" t="s">
        <v>3267</v>
      </c>
      <c r="D82" s="67">
        <v>132</v>
      </c>
      <c r="E82" s="67"/>
      <c r="F82" s="61" t="str">
        <f t="shared" si="1"/>
        <v>借</v>
      </c>
      <c r="G82" s="64">
        <f>SUM(D$6:E82)</f>
        <v>90224</v>
      </c>
      <c r="H82" s="61"/>
      <c r="I82" s="61" t="s">
        <v>3268</v>
      </c>
      <c r="J82" s="61" t="s">
        <v>114</v>
      </c>
      <c r="K82" s="64">
        <v>132</v>
      </c>
      <c r="L82" s="61"/>
      <c r="M82" s="65" t="s">
        <v>1146</v>
      </c>
      <c r="N82" s="61"/>
      <c r="O82" s="61"/>
      <c r="P82" s="61"/>
      <c r="Q82" s="61"/>
      <c r="R82" s="61">
        <v>542805</v>
      </c>
      <c r="S82" s="66" t="s">
        <v>43</v>
      </c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 s="61" t="s">
        <v>243</v>
      </c>
      <c r="B83" s="62">
        <v>46106</v>
      </c>
      <c r="C83" s="63" t="s">
        <v>3269</v>
      </c>
      <c r="D83" s="67">
        <v>134</v>
      </c>
      <c r="E83" s="67"/>
      <c r="F83" s="61" t="str">
        <f t="shared" si="1"/>
        <v>借</v>
      </c>
      <c r="G83" s="64">
        <f>SUM(D$6:E83)</f>
        <v>90358</v>
      </c>
      <c r="H83" s="61"/>
      <c r="I83" s="61" t="s">
        <v>3270</v>
      </c>
      <c r="J83" s="61" t="s">
        <v>114</v>
      </c>
      <c r="K83" s="64">
        <v>134</v>
      </c>
      <c r="L83" s="61"/>
      <c r="M83" s="65" t="s">
        <v>266</v>
      </c>
      <c r="N83" s="61"/>
      <c r="O83" s="61"/>
      <c r="P83" s="61"/>
      <c r="Q83" s="61"/>
      <c r="R83" s="61">
        <v>542797</v>
      </c>
      <c r="S83" s="66" t="s">
        <v>43</v>
      </c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 s="61" t="s">
        <v>243</v>
      </c>
      <c r="B84" s="62">
        <v>46106</v>
      </c>
      <c r="C84" s="63" t="s">
        <v>3271</v>
      </c>
      <c r="D84" s="67">
        <v>136</v>
      </c>
      <c r="E84" s="67"/>
      <c r="F84" s="61" t="str">
        <f t="shared" si="1"/>
        <v>借</v>
      </c>
      <c r="G84" s="64">
        <f>SUM(D$6:E84)</f>
        <v>90494</v>
      </c>
      <c r="H84" s="61"/>
      <c r="I84" s="61" t="s">
        <v>3272</v>
      </c>
      <c r="J84" s="61" t="s">
        <v>114</v>
      </c>
      <c r="K84" s="64">
        <v>136</v>
      </c>
      <c r="L84" s="61"/>
      <c r="M84" s="65" t="s">
        <v>346</v>
      </c>
      <c r="N84" s="61"/>
      <c r="O84" s="61"/>
      <c r="P84" s="61"/>
      <c r="Q84" s="61"/>
      <c r="R84" s="61">
        <v>542805</v>
      </c>
      <c r="S84" s="66" t="s">
        <v>43</v>
      </c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 s="61" t="s">
        <v>243</v>
      </c>
      <c r="B85" s="62">
        <v>46106</v>
      </c>
      <c r="C85" s="63" t="s">
        <v>3273</v>
      </c>
      <c r="D85" s="67">
        <v>140</v>
      </c>
      <c r="E85" s="67"/>
      <c r="F85" s="61" t="str">
        <f t="shared" si="1"/>
        <v>借</v>
      </c>
      <c r="G85" s="64">
        <f>SUM(D$6:E85)</f>
        <v>90634</v>
      </c>
      <c r="H85" s="61"/>
      <c r="I85" s="61" t="s">
        <v>3274</v>
      </c>
      <c r="J85" s="61" t="s">
        <v>114</v>
      </c>
      <c r="K85" s="64">
        <v>140</v>
      </c>
      <c r="L85" s="61"/>
      <c r="M85" s="65" t="s">
        <v>280</v>
      </c>
      <c r="N85" s="61"/>
      <c r="O85" s="61"/>
      <c r="P85" s="61"/>
      <c r="Q85" s="61"/>
      <c r="R85" s="61">
        <v>542805</v>
      </c>
      <c r="S85" s="66" t="s">
        <v>43</v>
      </c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 s="61" t="s">
        <v>243</v>
      </c>
      <c r="B86" s="62">
        <v>46106</v>
      </c>
      <c r="C86" s="63" t="s">
        <v>3275</v>
      </c>
      <c r="D86" s="67">
        <v>148</v>
      </c>
      <c r="E86" s="67"/>
      <c r="F86" s="61" t="str">
        <f t="shared" si="1"/>
        <v>借</v>
      </c>
      <c r="G86" s="64">
        <f>SUM(D$6:E86)</f>
        <v>90782</v>
      </c>
      <c r="H86" s="61"/>
      <c r="I86" s="61" t="s">
        <v>3276</v>
      </c>
      <c r="J86" s="61" t="s">
        <v>114</v>
      </c>
      <c r="K86" s="64">
        <v>148</v>
      </c>
      <c r="L86" s="61"/>
      <c r="M86" s="65" t="s">
        <v>3277</v>
      </c>
      <c r="N86" s="61"/>
      <c r="O86" s="61"/>
      <c r="P86" s="61"/>
      <c r="Q86" s="61"/>
      <c r="R86" s="61">
        <v>542805</v>
      </c>
      <c r="S86" s="66" t="s">
        <v>43</v>
      </c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 s="61" t="s">
        <v>243</v>
      </c>
      <c r="B87" s="62">
        <v>46106</v>
      </c>
      <c r="C87" s="63" t="s">
        <v>3278</v>
      </c>
      <c r="D87" s="67">
        <v>148</v>
      </c>
      <c r="E87" s="67"/>
      <c r="F87" s="61" t="str">
        <f t="shared" si="1"/>
        <v>借</v>
      </c>
      <c r="G87" s="64">
        <f>SUM(D$6:E87)</f>
        <v>90930</v>
      </c>
      <c r="H87" s="61"/>
      <c r="I87" s="61" t="s">
        <v>3279</v>
      </c>
      <c r="J87" s="61" t="s">
        <v>114</v>
      </c>
      <c r="K87" s="64">
        <v>148</v>
      </c>
      <c r="L87" s="61"/>
      <c r="M87" s="65" t="s">
        <v>933</v>
      </c>
      <c r="N87" s="61"/>
      <c r="O87" s="61"/>
      <c r="P87" s="61"/>
      <c r="Q87" s="61"/>
      <c r="R87" s="61">
        <v>542805</v>
      </c>
      <c r="S87" s="66" t="s">
        <v>43</v>
      </c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 s="61" t="s">
        <v>243</v>
      </c>
      <c r="B88" s="62">
        <v>46106</v>
      </c>
      <c r="C88" s="63" t="s">
        <v>3280</v>
      </c>
      <c r="D88" s="67">
        <v>152</v>
      </c>
      <c r="E88" s="67"/>
      <c r="F88" s="61" t="str">
        <f t="shared" si="1"/>
        <v>借</v>
      </c>
      <c r="G88" s="64">
        <f>SUM(D$6:E88)</f>
        <v>91082</v>
      </c>
      <c r="H88" s="61"/>
      <c r="I88" s="61" t="s">
        <v>3281</v>
      </c>
      <c r="J88" s="61" t="s">
        <v>114</v>
      </c>
      <c r="K88" s="64">
        <v>152</v>
      </c>
      <c r="L88" s="61"/>
      <c r="M88" s="65" t="s">
        <v>287</v>
      </c>
      <c r="N88" s="61"/>
      <c r="O88" s="61"/>
      <c r="P88" s="61"/>
      <c r="Q88" s="61"/>
      <c r="R88" s="61">
        <v>542805</v>
      </c>
      <c r="S88" s="66" t="s">
        <v>43</v>
      </c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 s="61" t="s">
        <v>243</v>
      </c>
      <c r="B89" s="62">
        <v>46106</v>
      </c>
      <c r="C89" s="63" t="s">
        <v>3282</v>
      </c>
      <c r="D89" s="67">
        <v>155</v>
      </c>
      <c r="E89" s="67"/>
      <c r="F89" s="61" t="str">
        <f t="shared" si="1"/>
        <v>借</v>
      </c>
      <c r="G89" s="64">
        <f>SUM(D$6:E89)</f>
        <v>91237</v>
      </c>
      <c r="H89" s="61"/>
      <c r="I89" s="61" t="s">
        <v>3283</v>
      </c>
      <c r="J89" s="61" t="s">
        <v>114</v>
      </c>
      <c r="K89" s="64">
        <v>155</v>
      </c>
      <c r="L89" s="61"/>
      <c r="M89" s="65" t="s">
        <v>284</v>
      </c>
      <c r="N89" s="61"/>
      <c r="O89" s="61"/>
      <c r="P89" s="61"/>
      <c r="Q89" s="61"/>
      <c r="R89" s="61">
        <v>542805</v>
      </c>
      <c r="S89" s="66" t="s">
        <v>43</v>
      </c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 s="61" t="s">
        <v>243</v>
      </c>
      <c r="B90" s="62">
        <v>46106</v>
      </c>
      <c r="C90" s="63" t="s">
        <v>3284</v>
      </c>
      <c r="D90" s="67">
        <v>160</v>
      </c>
      <c r="E90" s="67"/>
      <c r="F90" s="61" t="str">
        <f t="shared" si="1"/>
        <v>借</v>
      </c>
      <c r="G90" s="64">
        <f>SUM(D$6:E90)</f>
        <v>91397</v>
      </c>
      <c r="H90" s="61"/>
      <c r="I90" s="61" t="s">
        <v>3285</v>
      </c>
      <c r="J90" s="61" t="s">
        <v>114</v>
      </c>
      <c r="K90" s="64">
        <v>160</v>
      </c>
      <c r="L90" s="61"/>
      <c r="M90" s="65" t="s">
        <v>370</v>
      </c>
      <c r="N90" s="61"/>
      <c r="O90" s="61"/>
      <c r="P90" s="61"/>
      <c r="Q90" s="61"/>
      <c r="R90" s="61">
        <v>542797</v>
      </c>
      <c r="S90" s="66" t="s">
        <v>43</v>
      </c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 s="61" t="s">
        <v>243</v>
      </c>
      <c r="B91" s="62">
        <v>46106</v>
      </c>
      <c r="C91" s="63" t="s">
        <v>3286</v>
      </c>
      <c r="D91" s="67">
        <v>160</v>
      </c>
      <c r="E91" s="67"/>
      <c r="F91" s="61" t="str">
        <f t="shared" si="1"/>
        <v>借</v>
      </c>
      <c r="G91" s="64">
        <f>SUM(D$6:E91)</f>
        <v>91557</v>
      </c>
      <c r="H91" s="61"/>
      <c r="I91" s="61" t="s">
        <v>3287</v>
      </c>
      <c r="J91" s="61" t="s">
        <v>114</v>
      </c>
      <c r="K91" s="64">
        <v>160</v>
      </c>
      <c r="L91" s="61"/>
      <c r="M91" s="65" t="s">
        <v>1085</v>
      </c>
      <c r="N91" s="61"/>
      <c r="O91" s="61"/>
      <c r="P91" s="61"/>
      <c r="Q91" s="61"/>
      <c r="R91" s="61">
        <v>542805</v>
      </c>
      <c r="S91" s="66" t="s">
        <v>43</v>
      </c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 s="61" t="s">
        <v>243</v>
      </c>
      <c r="B92" s="62">
        <v>46106</v>
      </c>
      <c r="C92" s="63" t="s">
        <v>3288</v>
      </c>
      <c r="D92" s="67">
        <v>160</v>
      </c>
      <c r="E92" s="67"/>
      <c r="F92" s="61" t="str">
        <f t="shared" si="1"/>
        <v>借</v>
      </c>
      <c r="G92" s="64">
        <f>SUM(D$6:E92)</f>
        <v>91717</v>
      </c>
      <c r="H92" s="61"/>
      <c r="I92" s="61" t="s">
        <v>3289</v>
      </c>
      <c r="J92" s="61" t="s">
        <v>114</v>
      </c>
      <c r="K92" s="64">
        <v>160</v>
      </c>
      <c r="L92" s="61"/>
      <c r="M92" s="65" t="s">
        <v>1440</v>
      </c>
      <c r="N92" s="61"/>
      <c r="O92" s="61"/>
      <c r="P92" s="61"/>
      <c r="Q92" s="61"/>
      <c r="R92" s="61">
        <v>542805</v>
      </c>
      <c r="S92" s="66" t="s">
        <v>43</v>
      </c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 s="61" t="s">
        <v>243</v>
      </c>
      <c r="B93" s="62">
        <v>46106</v>
      </c>
      <c r="C93" s="63" t="s">
        <v>3290</v>
      </c>
      <c r="D93" s="67">
        <v>164</v>
      </c>
      <c r="E93" s="67"/>
      <c r="F93" s="61" t="str">
        <f t="shared" si="1"/>
        <v>借</v>
      </c>
      <c r="G93" s="64">
        <f>SUM(D$6:E93)</f>
        <v>91881</v>
      </c>
      <c r="H93" s="61"/>
      <c r="I93" s="61" t="s">
        <v>3291</v>
      </c>
      <c r="J93" s="61" t="s">
        <v>114</v>
      </c>
      <c r="K93" s="64">
        <v>164</v>
      </c>
      <c r="L93" s="61"/>
      <c r="M93" s="65" t="s">
        <v>295</v>
      </c>
      <c r="N93" s="61"/>
      <c r="O93" s="61"/>
      <c r="P93" s="61"/>
      <c r="Q93" s="61"/>
      <c r="R93" s="61">
        <v>542797</v>
      </c>
      <c r="S93" s="66" t="s">
        <v>43</v>
      </c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 s="61" t="s">
        <v>243</v>
      </c>
      <c r="B94" s="62">
        <v>46106</v>
      </c>
      <c r="C94" s="63" t="s">
        <v>3292</v>
      </c>
      <c r="D94" s="67">
        <v>172</v>
      </c>
      <c r="E94" s="67"/>
      <c r="F94" s="61" t="str">
        <f t="shared" si="1"/>
        <v>借</v>
      </c>
      <c r="G94" s="64">
        <f>SUM(D$6:E94)</f>
        <v>92053</v>
      </c>
      <c r="H94" s="61"/>
      <c r="I94" s="61" t="s">
        <v>3293</v>
      </c>
      <c r="J94" s="61" t="s">
        <v>114</v>
      </c>
      <c r="K94" s="64">
        <v>172</v>
      </c>
      <c r="L94" s="61"/>
      <c r="M94" s="65" t="s">
        <v>363</v>
      </c>
      <c r="N94" s="61"/>
      <c r="O94" s="61"/>
      <c r="P94" s="61"/>
      <c r="Q94" s="61"/>
      <c r="R94" s="61">
        <v>542805</v>
      </c>
      <c r="S94" s="66" t="s">
        <v>43</v>
      </c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 s="61" t="s">
        <v>243</v>
      </c>
      <c r="B95" s="62">
        <v>46106</v>
      </c>
      <c r="C95" s="63" t="s">
        <v>3294</v>
      </c>
      <c r="D95" s="67">
        <v>176</v>
      </c>
      <c r="E95" s="67"/>
      <c r="F95" s="61" t="str">
        <f t="shared" si="1"/>
        <v>借</v>
      </c>
      <c r="G95" s="64">
        <f>SUM(D$6:E95)</f>
        <v>92229</v>
      </c>
      <c r="H95" s="61"/>
      <c r="I95" s="61" t="s">
        <v>3295</v>
      </c>
      <c r="J95" s="61" t="s">
        <v>114</v>
      </c>
      <c r="K95" s="64">
        <v>176</v>
      </c>
      <c r="L95" s="61"/>
      <c r="M95" s="65" t="s">
        <v>1083</v>
      </c>
      <c r="N95" s="61"/>
      <c r="O95" s="61"/>
      <c r="P95" s="61"/>
      <c r="Q95" s="61"/>
      <c r="R95" s="61">
        <v>542805</v>
      </c>
      <c r="S95" s="66" t="s">
        <v>43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 s="61" t="s">
        <v>243</v>
      </c>
      <c r="B96" s="62">
        <v>46106</v>
      </c>
      <c r="C96" s="63" t="s">
        <v>3296</v>
      </c>
      <c r="D96" s="67">
        <v>176</v>
      </c>
      <c r="E96" s="67"/>
      <c r="F96" s="61" t="str">
        <f t="shared" si="1"/>
        <v>借</v>
      </c>
      <c r="G96" s="64">
        <f>SUM(D$6:E96)</f>
        <v>92405</v>
      </c>
      <c r="H96" s="61"/>
      <c r="I96" s="61" t="s">
        <v>3297</v>
      </c>
      <c r="J96" s="61" t="s">
        <v>114</v>
      </c>
      <c r="K96" s="64">
        <v>176</v>
      </c>
      <c r="L96" s="61"/>
      <c r="M96" s="65" t="s">
        <v>360</v>
      </c>
      <c r="N96" s="61"/>
      <c r="O96" s="61"/>
      <c r="P96" s="61"/>
      <c r="Q96" s="61"/>
      <c r="R96" s="61">
        <v>542805</v>
      </c>
      <c r="S96" s="66" t="s">
        <v>43</v>
      </c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 s="61" t="s">
        <v>243</v>
      </c>
      <c r="B97" s="62">
        <v>46106</v>
      </c>
      <c r="C97" s="63" t="s">
        <v>3298</v>
      </c>
      <c r="D97" s="67">
        <v>176</v>
      </c>
      <c r="E97" s="67"/>
      <c r="F97" s="61" t="str">
        <f t="shared" si="1"/>
        <v>借</v>
      </c>
      <c r="G97" s="64">
        <f>SUM(D$6:E97)</f>
        <v>92581</v>
      </c>
      <c r="H97" s="61"/>
      <c r="I97" s="61" t="s">
        <v>3299</v>
      </c>
      <c r="J97" s="61" t="s">
        <v>114</v>
      </c>
      <c r="K97" s="64">
        <v>176</v>
      </c>
      <c r="L97" s="61"/>
      <c r="M97" s="65" t="s">
        <v>1644</v>
      </c>
      <c r="N97" s="61"/>
      <c r="O97" s="61"/>
      <c r="P97" s="61"/>
      <c r="Q97" s="61"/>
      <c r="R97" s="61">
        <v>542805</v>
      </c>
      <c r="S97" s="66" t="s">
        <v>43</v>
      </c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 s="61" t="s">
        <v>243</v>
      </c>
      <c r="B98" s="62">
        <v>46106</v>
      </c>
      <c r="C98" s="63" t="s">
        <v>3300</v>
      </c>
      <c r="D98" s="67">
        <v>184</v>
      </c>
      <c r="E98" s="67"/>
      <c r="F98" s="61" t="str">
        <f t="shared" si="1"/>
        <v>借</v>
      </c>
      <c r="G98" s="64">
        <f>SUM(D$6:E98)</f>
        <v>92765</v>
      </c>
      <c r="H98" s="61"/>
      <c r="I98" s="61" t="s">
        <v>3301</v>
      </c>
      <c r="J98" s="61" t="s">
        <v>114</v>
      </c>
      <c r="K98" s="64">
        <v>184</v>
      </c>
      <c r="L98" s="61"/>
      <c r="M98" s="65" t="s">
        <v>1089</v>
      </c>
      <c r="N98" s="61"/>
      <c r="O98" s="61"/>
      <c r="P98" s="61"/>
      <c r="Q98" s="61"/>
      <c r="R98" s="61">
        <v>542805</v>
      </c>
      <c r="S98" s="66" t="s">
        <v>43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 s="61" t="s">
        <v>243</v>
      </c>
      <c r="B99" s="62">
        <v>46106</v>
      </c>
      <c r="C99" s="63" t="s">
        <v>3302</v>
      </c>
      <c r="D99" s="67">
        <v>184</v>
      </c>
      <c r="E99" s="67"/>
      <c r="F99" s="61" t="str">
        <f t="shared" si="1"/>
        <v>借</v>
      </c>
      <c r="G99" s="64">
        <f>SUM(D$6:E99)</f>
        <v>92949</v>
      </c>
      <c r="H99" s="61"/>
      <c r="I99" s="61" t="s">
        <v>3303</v>
      </c>
      <c r="J99" s="61" t="s">
        <v>114</v>
      </c>
      <c r="K99" s="64">
        <v>184</v>
      </c>
      <c r="L99" s="61"/>
      <c r="M99" s="65" t="s">
        <v>356</v>
      </c>
      <c r="N99" s="61"/>
      <c r="O99" s="61"/>
      <c r="P99" s="61"/>
      <c r="Q99" s="61"/>
      <c r="R99" s="61">
        <v>542805</v>
      </c>
      <c r="S99" s="66" t="s">
        <v>43</v>
      </c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 s="61" t="s">
        <v>243</v>
      </c>
      <c r="B100" s="62">
        <v>46106</v>
      </c>
      <c r="C100" s="63" t="s">
        <v>3304</v>
      </c>
      <c r="D100" s="67">
        <v>188</v>
      </c>
      <c r="E100" s="67"/>
      <c r="F100" s="61" t="str">
        <f t="shared" si="1"/>
        <v>借</v>
      </c>
      <c r="G100" s="64">
        <f>SUM(D$6:E100)</f>
        <v>93137</v>
      </c>
      <c r="H100" s="61"/>
      <c r="I100" s="61" t="s">
        <v>3305</v>
      </c>
      <c r="J100" s="61" t="s">
        <v>114</v>
      </c>
      <c r="K100" s="64">
        <v>188</v>
      </c>
      <c r="L100" s="61"/>
      <c r="M100" s="65" t="s">
        <v>1088</v>
      </c>
      <c r="N100" s="61"/>
      <c r="O100" s="61"/>
      <c r="P100" s="61"/>
      <c r="Q100" s="61"/>
      <c r="R100" s="61">
        <v>542797</v>
      </c>
      <c r="S100" s="66" t="s">
        <v>43</v>
      </c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 s="61" t="s">
        <v>243</v>
      </c>
      <c r="B101" s="62">
        <v>46106</v>
      </c>
      <c r="C101" s="63" t="s">
        <v>3306</v>
      </c>
      <c r="D101" s="67">
        <v>196</v>
      </c>
      <c r="E101" s="67"/>
      <c r="F101" s="61" t="str">
        <f t="shared" si="1"/>
        <v>借</v>
      </c>
      <c r="G101" s="64">
        <f>SUM(D$6:E101)</f>
        <v>93333</v>
      </c>
      <c r="H101" s="61"/>
      <c r="I101" s="61" t="s">
        <v>3307</v>
      </c>
      <c r="J101" s="61" t="s">
        <v>114</v>
      </c>
      <c r="K101" s="64">
        <v>196</v>
      </c>
      <c r="L101" s="61"/>
      <c r="M101" s="65" t="s">
        <v>1724</v>
      </c>
      <c r="N101" s="61"/>
      <c r="O101" s="61"/>
      <c r="P101" s="61"/>
      <c r="Q101" s="61"/>
      <c r="R101" s="61">
        <v>542805</v>
      </c>
      <c r="S101" s="66" t="s">
        <v>43</v>
      </c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 s="61" t="s">
        <v>243</v>
      </c>
      <c r="B102" s="62">
        <v>46106</v>
      </c>
      <c r="C102" s="63" t="s">
        <v>3308</v>
      </c>
      <c r="D102" s="67">
        <v>196</v>
      </c>
      <c r="E102" s="67"/>
      <c r="F102" s="61" t="str">
        <f t="shared" si="1"/>
        <v>借</v>
      </c>
      <c r="G102" s="64">
        <f>SUM(D$6:E102)</f>
        <v>93529</v>
      </c>
      <c r="H102" s="61"/>
      <c r="I102" s="61" t="s">
        <v>3309</v>
      </c>
      <c r="J102" s="61" t="s">
        <v>114</v>
      </c>
      <c r="K102" s="64">
        <v>196</v>
      </c>
      <c r="L102" s="61"/>
      <c r="M102" s="65" t="s">
        <v>1433</v>
      </c>
      <c r="N102" s="61"/>
      <c r="O102" s="61"/>
      <c r="P102" s="61"/>
      <c r="Q102" s="61"/>
      <c r="R102" s="61">
        <v>542805</v>
      </c>
      <c r="S102" s="66" t="s">
        <v>43</v>
      </c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 s="61" t="s">
        <v>243</v>
      </c>
      <c r="B103" s="62">
        <v>46106</v>
      </c>
      <c r="C103" s="63" t="s">
        <v>3310</v>
      </c>
      <c r="D103" s="67">
        <v>208</v>
      </c>
      <c r="E103" s="67"/>
      <c r="F103" s="61" t="str">
        <f t="shared" si="1"/>
        <v>借</v>
      </c>
      <c r="G103" s="64">
        <f>SUM(D$6:E103)</f>
        <v>93737</v>
      </c>
      <c r="H103" s="61"/>
      <c r="I103" s="61" t="s">
        <v>3311</v>
      </c>
      <c r="J103" s="61" t="s">
        <v>114</v>
      </c>
      <c r="K103" s="64">
        <v>208</v>
      </c>
      <c r="L103" s="61"/>
      <c r="M103" s="65" t="s">
        <v>1180</v>
      </c>
      <c r="N103" s="61"/>
      <c r="O103" s="61"/>
      <c r="P103" s="61"/>
      <c r="Q103" s="61"/>
      <c r="R103" s="61">
        <v>542805</v>
      </c>
      <c r="S103" s="66" t="s">
        <v>43</v>
      </c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 s="61" t="s">
        <v>243</v>
      </c>
      <c r="B104" s="62">
        <v>46106</v>
      </c>
      <c r="C104" s="63" t="s">
        <v>3312</v>
      </c>
      <c r="D104" s="67">
        <v>215</v>
      </c>
      <c r="E104" s="67"/>
      <c r="F104" s="61" t="str">
        <f t="shared" si="1"/>
        <v>借</v>
      </c>
      <c r="G104" s="64">
        <f>SUM(D$6:E104)</f>
        <v>93952</v>
      </c>
      <c r="H104" s="61"/>
      <c r="I104" s="61" t="s">
        <v>3313</v>
      </c>
      <c r="J104" s="61" t="s">
        <v>114</v>
      </c>
      <c r="K104" s="64">
        <v>215</v>
      </c>
      <c r="L104" s="61"/>
      <c r="M104" s="65" t="s">
        <v>1447</v>
      </c>
      <c r="N104" s="61"/>
      <c r="O104" s="61"/>
      <c r="P104" s="61"/>
      <c r="Q104" s="61"/>
      <c r="R104" s="61">
        <v>542797</v>
      </c>
      <c r="S104" s="66" t="s">
        <v>43</v>
      </c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 s="61" t="s">
        <v>243</v>
      </c>
      <c r="B105" s="62">
        <v>46106</v>
      </c>
      <c r="C105" s="63" t="s">
        <v>3314</v>
      </c>
      <c r="D105" s="67">
        <v>224</v>
      </c>
      <c r="E105" s="67"/>
      <c r="F105" s="61" t="str">
        <f t="shared" si="1"/>
        <v>借</v>
      </c>
      <c r="G105" s="64">
        <f>SUM(D$6:E105)</f>
        <v>94176</v>
      </c>
      <c r="H105" s="61"/>
      <c r="I105" s="61" t="s">
        <v>3315</v>
      </c>
      <c r="J105" s="61" t="s">
        <v>114</v>
      </c>
      <c r="K105" s="64">
        <v>224</v>
      </c>
      <c r="L105" s="61"/>
      <c r="M105" s="65" t="s">
        <v>281</v>
      </c>
      <c r="N105" s="61"/>
      <c r="O105" s="61"/>
      <c r="P105" s="61"/>
      <c r="Q105" s="61"/>
      <c r="R105" s="61">
        <v>542805</v>
      </c>
      <c r="S105" s="66" t="s">
        <v>43</v>
      </c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 s="61" t="s">
        <v>243</v>
      </c>
      <c r="B106" s="62">
        <v>46106</v>
      </c>
      <c r="C106" s="63" t="s">
        <v>3316</v>
      </c>
      <c r="D106" s="67">
        <v>225</v>
      </c>
      <c r="E106" s="67"/>
      <c r="F106" s="61" t="str">
        <f t="shared" si="1"/>
        <v>借</v>
      </c>
      <c r="G106" s="64">
        <f>SUM(D$6:E106)</f>
        <v>94401</v>
      </c>
      <c r="H106" s="61"/>
      <c r="I106" s="61" t="s">
        <v>3317</v>
      </c>
      <c r="J106" s="61" t="s">
        <v>114</v>
      </c>
      <c r="K106" s="64">
        <v>225</v>
      </c>
      <c r="L106" s="61"/>
      <c r="M106" s="65" t="s">
        <v>324</v>
      </c>
      <c r="N106" s="61"/>
      <c r="O106" s="61"/>
      <c r="P106" s="61"/>
      <c r="Q106" s="61"/>
      <c r="R106" s="61">
        <v>542797</v>
      </c>
      <c r="S106" s="66" t="s">
        <v>43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 s="61" t="s">
        <v>243</v>
      </c>
      <c r="B107" s="62">
        <v>46106</v>
      </c>
      <c r="C107" s="63" t="s">
        <v>3318</v>
      </c>
      <c r="D107" s="67">
        <v>232</v>
      </c>
      <c r="E107" s="67"/>
      <c r="F107" s="61" t="str">
        <f t="shared" si="1"/>
        <v>借</v>
      </c>
      <c r="G107" s="64">
        <f>SUM(D$6:E107)</f>
        <v>94633</v>
      </c>
      <c r="H107" s="61"/>
      <c r="I107" s="61" t="s">
        <v>3319</v>
      </c>
      <c r="J107" s="61" t="s">
        <v>114</v>
      </c>
      <c r="K107" s="64">
        <v>232</v>
      </c>
      <c r="L107" s="61"/>
      <c r="M107" s="65" t="s">
        <v>291</v>
      </c>
      <c r="N107" s="61"/>
      <c r="O107" s="61"/>
      <c r="P107" s="61"/>
      <c r="Q107" s="61"/>
      <c r="R107" s="61">
        <v>542805</v>
      </c>
      <c r="S107" s="66" t="s">
        <v>43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 s="61" t="s">
        <v>243</v>
      </c>
      <c r="B108" s="62">
        <v>46106</v>
      </c>
      <c r="C108" s="63" t="s">
        <v>3320</v>
      </c>
      <c r="D108" s="67">
        <v>256</v>
      </c>
      <c r="E108" s="67"/>
      <c r="F108" s="61" t="str">
        <f t="shared" si="1"/>
        <v>借</v>
      </c>
      <c r="G108" s="64">
        <f>SUM(D$6:E108)</f>
        <v>94889</v>
      </c>
      <c r="H108" s="61"/>
      <c r="I108" s="61" t="s">
        <v>3321</v>
      </c>
      <c r="J108" s="61" t="s">
        <v>114</v>
      </c>
      <c r="K108" s="64">
        <v>256</v>
      </c>
      <c r="L108" s="61"/>
      <c r="M108" s="65" t="s">
        <v>293</v>
      </c>
      <c r="N108" s="61"/>
      <c r="O108" s="61"/>
      <c r="P108" s="61"/>
      <c r="Q108" s="61"/>
      <c r="R108" s="61">
        <v>542805</v>
      </c>
      <c r="S108" s="66" t="s">
        <v>43</v>
      </c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 s="61" t="s">
        <v>243</v>
      </c>
      <c r="B109" s="62">
        <v>46106</v>
      </c>
      <c r="C109" s="63" t="s">
        <v>3322</v>
      </c>
      <c r="D109" s="67">
        <v>260</v>
      </c>
      <c r="E109" s="67"/>
      <c r="F109" s="61" t="str">
        <f t="shared" si="1"/>
        <v>借</v>
      </c>
      <c r="G109" s="64">
        <f>SUM(D$6:E109)</f>
        <v>95149</v>
      </c>
      <c r="H109" s="61"/>
      <c r="I109" s="61" t="s">
        <v>3323</v>
      </c>
      <c r="J109" s="61" t="s">
        <v>114</v>
      </c>
      <c r="K109" s="64">
        <v>260</v>
      </c>
      <c r="L109" s="61"/>
      <c r="M109" s="65" t="s">
        <v>289</v>
      </c>
      <c r="N109" s="61"/>
      <c r="O109" s="61"/>
      <c r="P109" s="61"/>
      <c r="Q109" s="61"/>
      <c r="R109" s="61">
        <v>542805</v>
      </c>
      <c r="S109" s="66" t="s">
        <v>43</v>
      </c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 s="61" t="s">
        <v>243</v>
      </c>
      <c r="B110" s="62">
        <v>46106</v>
      </c>
      <c r="C110" s="63" t="s">
        <v>3324</v>
      </c>
      <c r="D110" s="67">
        <v>268</v>
      </c>
      <c r="E110" s="67"/>
      <c r="F110" s="61" t="str">
        <f t="shared" si="1"/>
        <v>借</v>
      </c>
      <c r="G110" s="64">
        <f>SUM(D$6:E110)</f>
        <v>95417</v>
      </c>
      <c r="H110" s="61"/>
      <c r="I110" s="61" t="s">
        <v>3325</v>
      </c>
      <c r="J110" s="61" t="s">
        <v>114</v>
      </c>
      <c r="K110" s="64">
        <v>268</v>
      </c>
      <c r="L110" s="61"/>
      <c r="M110" s="65" t="s">
        <v>359</v>
      </c>
      <c r="N110" s="61"/>
      <c r="O110" s="61"/>
      <c r="P110" s="61"/>
      <c r="Q110" s="61"/>
      <c r="R110" s="61">
        <v>542797</v>
      </c>
      <c r="S110" s="66" t="s">
        <v>43</v>
      </c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 s="61" t="s">
        <v>243</v>
      </c>
      <c r="B111" s="62">
        <v>46106</v>
      </c>
      <c r="C111" s="63" t="s">
        <v>3326</v>
      </c>
      <c r="D111" s="67">
        <v>272</v>
      </c>
      <c r="E111" s="67"/>
      <c r="F111" s="61" t="str">
        <f t="shared" si="1"/>
        <v>借</v>
      </c>
      <c r="G111" s="64">
        <f>SUM(D$6:E111)</f>
        <v>95689</v>
      </c>
      <c r="H111" s="61"/>
      <c r="I111" s="61" t="s">
        <v>3327</v>
      </c>
      <c r="J111" s="61" t="s">
        <v>114</v>
      </c>
      <c r="K111" s="64">
        <v>272</v>
      </c>
      <c r="L111" s="61"/>
      <c r="M111" s="65" t="s">
        <v>1706</v>
      </c>
      <c r="N111" s="61"/>
      <c r="O111" s="61"/>
      <c r="P111" s="61"/>
      <c r="Q111" s="61"/>
      <c r="R111" s="61">
        <v>542805</v>
      </c>
      <c r="S111" s="66" t="s">
        <v>43</v>
      </c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 s="61" t="s">
        <v>243</v>
      </c>
      <c r="B112" s="62">
        <v>46106</v>
      </c>
      <c r="C112" s="63" t="s">
        <v>3328</v>
      </c>
      <c r="D112" s="67">
        <v>272</v>
      </c>
      <c r="E112" s="67"/>
      <c r="F112" s="61" t="str">
        <f t="shared" si="1"/>
        <v>借</v>
      </c>
      <c r="G112" s="64">
        <f>SUM(D$6:E112)</f>
        <v>95961</v>
      </c>
      <c r="H112" s="61"/>
      <c r="I112" s="61" t="s">
        <v>3329</v>
      </c>
      <c r="J112" s="61" t="s">
        <v>114</v>
      </c>
      <c r="K112" s="64">
        <v>272</v>
      </c>
      <c r="L112" s="61"/>
      <c r="M112" s="65" t="s">
        <v>1704</v>
      </c>
      <c r="N112" s="61"/>
      <c r="O112" s="61"/>
      <c r="P112" s="61"/>
      <c r="Q112" s="61"/>
      <c r="R112" s="61">
        <v>542805</v>
      </c>
      <c r="S112" s="66" t="s">
        <v>43</v>
      </c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 s="61" t="s">
        <v>243</v>
      </c>
      <c r="B113" s="62">
        <v>46106</v>
      </c>
      <c r="C113" s="63" t="s">
        <v>3330</v>
      </c>
      <c r="D113" s="67">
        <v>276</v>
      </c>
      <c r="E113" s="67"/>
      <c r="F113" s="61" t="str">
        <f t="shared" si="1"/>
        <v>借</v>
      </c>
      <c r="G113" s="64">
        <f>SUM(D$6:E113)</f>
        <v>96237</v>
      </c>
      <c r="H113" s="61"/>
      <c r="I113" s="61" t="s">
        <v>3331</v>
      </c>
      <c r="J113" s="61" t="s">
        <v>114</v>
      </c>
      <c r="K113" s="64">
        <v>276</v>
      </c>
      <c r="L113" s="61"/>
      <c r="M113" s="65" t="s">
        <v>264</v>
      </c>
      <c r="N113" s="61"/>
      <c r="O113" s="61"/>
      <c r="P113" s="61"/>
      <c r="Q113" s="61"/>
      <c r="R113" s="61">
        <v>542797</v>
      </c>
      <c r="S113" s="66" t="s">
        <v>43</v>
      </c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 s="61" t="s">
        <v>243</v>
      </c>
      <c r="B114" s="62">
        <v>46106</v>
      </c>
      <c r="C114" s="63" t="s">
        <v>3332</v>
      </c>
      <c r="D114" s="67">
        <v>280</v>
      </c>
      <c r="E114" s="67"/>
      <c r="F114" s="61" t="str">
        <f t="shared" si="1"/>
        <v>借</v>
      </c>
      <c r="G114" s="64">
        <f>SUM(D$6:E114)</f>
        <v>96517</v>
      </c>
      <c r="H114" s="61"/>
      <c r="I114" s="61" t="s">
        <v>3333</v>
      </c>
      <c r="J114" s="61" t="s">
        <v>114</v>
      </c>
      <c r="K114" s="64">
        <v>280</v>
      </c>
      <c r="L114" s="61"/>
      <c r="M114" s="65" t="s">
        <v>365</v>
      </c>
      <c r="N114" s="61"/>
      <c r="O114" s="61"/>
      <c r="P114" s="61"/>
      <c r="Q114" s="61"/>
      <c r="R114" s="61">
        <v>542805</v>
      </c>
      <c r="S114" s="66" t="s">
        <v>43</v>
      </c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 s="61" t="s">
        <v>243</v>
      </c>
      <c r="B115" s="62">
        <v>46106</v>
      </c>
      <c r="C115" s="63" t="s">
        <v>3334</v>
      </c>
      <c r="D115" s="67">
        <v>280</v>
      </c>
      <c r="E115" s="67"/>
      <c r="F115" s="61" t="str">
        <f t="shared" si="1"/>
        <v>借</v>
      </c>
      <c r="G115" s="64">
        <f>SUM(D$6:E115)</f>
        <v>96797</v>
      </c>
      <c r="H115" s="61"/>
      <c r="I115" s="61" t="s">
        <v>3335</v>
      </c>
      <c r="J115" s="61" t="s">
        <v>114</v>
      </c>
      <c r="K115" s="64">
        <v>280</v>
      </c>
      <c r="L115" s="61"/>
      <c r="M115" s="65" t="s">
        <v>364</v>
      </c>
      <c r="N115" s="61"/>
      <c r="O115" s="61"/>
      <c r="P115" s="61"/>
      <c r="Q115" s="61"/>
      <c r="R115" s="61">
        <v>542805</v>
      </c>
      <c r="S115" s="66" t="s">
        <v>43</v>
      </c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 s="61" t="s">
        <v>243</v>
      </c>
      <c r="B116" s="62">
        <v>46106</v>
      </c>
      <c r="C116" s="63" t="s">
        <v>3336</v>
      </c>
      <c r="D116" s="67">
        <v>284</v>
      </c>
      <c r="E116" s="67"/>
      <c r="F116" s="61" t="str">
        <f t="shared" si="1"/>
        <v>借</v>
      </c>
      <c r="G116" s="64">
        <f>SUM(D$6:E116)</f>
        <v>97081</v>
      </c>
      <c r="H116" s="61"/>
      <c r="I116" s="61" t="s">
        <v>3337</v>
      </c>
      <c r="J116" s="61" t="s">
        <v>114</v>
      </c>
      <c r="K116" s="64">
        <v>284</v>
      </c>
      <c r="L116" s="61"/>
      <c r="M116" s="65" t="s">
        <v>1091</v>
      </c>
      <c r="N116" s="61"/>
      <c r="O116" s="61"/>
      <c r="P116" s="61"/>
      <c r="Q116" s="61"/>
      <c r="R116" s="61">
        <v>542805</v>
      </c>
      <c r="S116" s="66" t="s">
        <v>43</v>
      </c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 s="61" t="s">
        <v>243</v>
      </c>
      <c r="B117" s="62">
        <v>46106</v>
      </c>
      <c r="C117" s="63" t="s">
        <v>3338</v>
      </c>
      <c r="D117" s="67">
        <v>284</v>
      </c>
      <c r="E117" s="67"/>
      <c r="F117" s="61" t="str">
        <f t="shared" si="1"/>
        <v>借</v>
      </c>
      <c r="G117" s="64">
        <f>SUM(D$6:E117)</f>
        <v>97365</v>
      </c>
      <c r="H117" s="61"/>
      <c r="I117" s="61" t="s">
        <v>3339</v>
      </c>
      <c r="J117" s="61" t="s">
        <v>114</v>
      </c>
      <c r="K117" s="64">
        <v>284</v>
      </c>
      <c r="L117" s="61"/>
      <c r="M117" s="65" t="s">
        <v>1437</v>
      </c>
      <c r="N117" s="61"/>
      <c r="O117" s="61"/>
      <c r="P117" s="61"/>
      <c r="Q117" s="61"/>
      <c r="R117" s="61">
        <v>542805</v>
      </c>
      <c r="S117" s="66" t="s">
        <v>43</v>
      </c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 s="61" t="s">
        <v>243</v>
      </c>
      <c r="B118" s="62">
        <v>46106</v>
      </c>
      <c r="C118" s="63" t="s">
        <v>3340</v>
      </c>
      <c r="D118" s="67">
        <v>288</v>
      </c>
      <c r="E118" s="67"/>
      <c r="F118" s="61" t="str">
        <f t="shared" si="1"/>
        <v>借</v>
      </c>
      <c r="G118" s="64">
        <f>SUM(D$6:E118)</f>
        <v>97653</v>
      </c>
      <c r="H118" s="61"/>
      <c r="I118" s="61" t="s">
        <v>3341</v>
      </c>
      <c r="J118" s="61" t="s">
        <v>114</v>
      </c>
      <c r="K118" s="64">
        <v>288</v>
      </c>
      <c r="L118" s="61"/>
      <c r="M118" s="65" t="s">
        <v>339</v>
      </c>
      <c r="N118" s="61"/>
      <c r="O118" s="61"/>
      <c r="P118" s="61"/>
      <c r="Q118" s="61"/>
      <c r="R118" s="61">
        <v>542797</v>
      </c>
      <c r="S118" s="66" t="s">
        <v>43</v>
      </c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 s="61" t="s">
        <v>243</v>
      </c>
      <c r="B119" s="62">
        <v>46106</v>
      </c>
      <c r="C119" s="63" t="s">
        <v>3342</v>
      </c>
      <c r="D119" s="67">
        <v>312</v>
      </c>
      <c r="E119" s="67"/>
      <c r="F119" s="61" t="str">
        <f t="shared" si="1"/>
        <v>借</v>
      </c>
      <c r="G119" s="64">
        <f>SUM(D$6:E119)</f>
        <v>97965</v>
      </c>
      <c r="H119" s="61"/>
      <c r="I119" s="61" t="s">
        <v>3343</v>
      </c>
      <c r="J119" s="61" t="s">
        <v>114</v>
      </c>
      <c r="K119" s="64">
        <v>312</v>
      </c>
      <c r="L119" s="61"/>
      <c r="M119" s="65" t="s">
        <v>1082</v>
      </c>
      <c r="N119" s="61"/>
      <c r="O119" s="61"/>
      <c r="P119" s="61"/>
      <c r="Q119" s="61"/>
      <c r="R119" s="61">
        <v>542805</v>
      </c>
      <c r="S119" s="66" t="s">
        <v>43</v>
      </c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 s="61" t="s">
        <v>243</v>
      </c>
      <c r="B120" s="62">
        <v>46106</v>
      </c>
      <c r="C120" s="63" t="s">
        <v>3344</v>
      </c>
      <c r="D120" s="67">
        <v>316</v>
      </c>
      <c r="E120" s="67"/>
      <c r="F120" s="61" t="str">
        <f t="shared" si="1"/>
        <v>借</v>
      </c>
      <c r="G120" s="64">
        <f>SUM(D$6:E120)</f>
        <v>98281</v>
      </c>
      <c r="H120" s="61"/>
      <c r="I120" s="61" t="s">
        <v>3345</v>
      </c>
      <c r="J120" s="61" t="s">
        <v>114</v>
      </c>
      <c r="K120" s="64">
        <v>316</v>
      </c>
      <c r="L120" s="61"/>
      <c r="M120" s="65" t="s">
        <v>361</v>
      </c>
      <c r="N120" s="61"/>
      <c r="O120" s="61"/>
      <c r="P120" s="61"/>
      <c r="Q120" s="61"/>
      <c r="R120" s="61">
        <v>542805</v>
      </c>
      <c r="S120" s="66" t="s">
        <v>43</v>
      </c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 s="61" t="s">
        <v>243</v>
      </c>
      <c r="B121" s="62">
        <v>46106</v>
      </c>
      <c r="C121" s="63" t="s">
        <v>3346</v>
      </c>
      <c r="D121" s="67">
        <v>324</v>
      </c>
      <c r="E121" s="67"/>
      <c r="F121" s="61" t="str">
        <f t="shared" si="1"/>
        <v>借</v>
      </c>
      <c r="G121" s="64">
        <f>SUM(D$6:E121)</f>
        <v>98605</v>
      </c>
      <c r="H121" s="61"/>
      <c r="I121" s="61" t="s">
        <v>3347</v>
      </c>
      <c r="J121" s="61" t="s">
        <v>114</v>
      </c>
      <c r="K121" s="64">
        <v>324</v>
      </c>
      <c r="L121" s="61"/>
      <c r="M121" s="65" t="s">
        <v>1714</v>
      </c>
      <c r="N121" s="61"/>
      <c r="O121" s="61"/>
      <c r="P121" s="61"/>
      <c r="Q121" s="61"/>
      <c r="R121" s="61">
        <v>542805</v>
      </c>
      <c r="S121" s="66" t="s">
        <v>43</v>
      </c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 s="61" t="s">
        <v>243</v>
      </c>
      <c r="B122" s="62">
        <v>46106</v>
      </c>
      <c r="C122" s="63" t="s">
        <v>3348</v>
      </c>
      <c r="D122" s="67">
        <v>324</v>
      </c>
      <c r="E122" s="67"/>
      <c r="F122" s="61" t="str">
        <f t="shared" si="1"/>
        <v>借</v>
      </c>
      <c r="G122" s="64">
        <f>SUM(D$6:E122)</f>
        <v>98929</v>
      </c>
      <c r="H122" s="61"/>
      <c r="I122" s="61" t="s">
        <v>3349</v>
      </c>
      <c r="J122" s="61" t="s">
        <v>114</v>
      </c>
      <c r="K122" s="64">
        <v>324</v>
      </c>
      <c r="L122" s="61"/>
      <c r="M122" s="65" t="s">
        <v>1448</v>
      </c>
      <c r="N122" s="61"/>
      <c r="O122" s="61"/>
      <c r="P122" s="61"/>
      <c r="Q122" s="61"/>
      <c r="R122" s="61">
        <v>542805</v>
      </c>
      <c r="S122" s="66" t="s">
        <v>43</v>
      </c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 s="61" t="s">
        <v>243</v>
      </c>
      <c r="B123" s="62">
        <v>46106</v>
      </c>
      <c r="C123" s="63" t="s">
        <v>3350</v>
      </c>
      <c r="D123" s="67">
        <v>332</v>
      </c>
      <c r="E123" s="67"/>
      <c r="F123" s="61" t="str">
        <f t="shared" si="1"/>
        <v>借</v>
      </c>
      <c r="G123" s="64">
        <f>SUM(D$6:E123)</f>
        <v>99261</v>
      </c>
      <c r="H123" s="61"/>
      <c r="I123" s="61" t="s">
        <v>3351</v>
      </c>
      <c r="J123" s="61" t="s">
        <v>114</v>
      </c>
      <c r="K123" s="64">
        <v>332</v>
      </c>
      <c r="L123" s="61"/>
      <c r="M123" s="65" t="s">
        <v>339</v>
      </c>
      <c r="N123" s="61"/>
      <c r="O123" s="61"/>
      <c r="P123" s="61"/>
      <c r="Q123" s="61"/>
      <c r="R123" s="61">
        <v>542805</v>
      </c>
      <c r="S123" s="66" t="s">
        <v>43</v>
      </c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 s="61" t="s">
        <v>243</v>
      </c>
      <c r="B124" s="62">
        <v>46106</v>
      </c>
      <c r="C124" s="63" t="s">
        <v>3352</v>
      </c>
      <c r="D124" s="67">
        <v>332</v>
      </c>
      <c r="E124" s="67"/>
      <c r="F124" s="61" t="str">
        <f t="shared" si="1"/>
        <v>借</v>
      </c>
      <c r="G124" s="64">
        <f>SUM(D$6:E124)</f>
        <v>99593</v>
      </c>
      <c r="H124" s="61"/>
      <c r="I124" s="61" t="s">
        <v>3353</v>
      </c>
      <c r="J124" s="61" t="s">
        <v>114</v>
      </c>
      <c r="K124" s="64">
        <v>332</v>
      </c>
      <c r="L124" s="61"/>
      <c r="M124" s="65" t="s">
        <v>1420</v>
      </c>
      <c r="N124" s="61"/>
      <c r="O124" s="61"/>
      <c r="P124" s="61"/>
      <c r="Q124" s="61"/>
      <c r="R124" s="61">
        <v>542805</v>
      </c>
      <c r="S124" s="66" t="s">
        <v>43</v>
      </c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 s="61" t="s">
        <v>243</v>
      </c>
      <c r="B125" s="62">
        <v>46106</v>
      </c>
      <c r="C125" s="63" t="s">
        <v>3354</v>
      </c>
      <c r="D125" s="67">
        <v>344</v>
      </c>
      <c r="E125" s="67"/>
      <c r="F125" s="61" t="str">
        <f t="shared" si="1"/>
        <v>借</v>
      </c>
      <c r="G125" s="64">
        <f>SUM(D$6:E125)</f>
        <v>99937</v>
      </c>
      <c r="H125" s="61"/>
      <c r="I125" s="61" t="s">
        <v>3355</v>
      </c>
      <c r="J125" s="61" t="s">
        <v>114</v>
      </c>
      <c r="K125" s="64">
        <v>344</v>
      </c>
      <c r="L125" s="61"/>
      <c r="M125" s="65" t="s">
        <v>296</v>
      </c>
      <c r="N125" s="61"/>
      <c r="O125" s="61"/>
      <c r="P125" s="61"/>
      <c r="Q125" s="61"/>
      <c r="R125" s="61">
        <v>542805</v>
      </c>
      <c r="S125" s="66" t="s">
        <v>43</v>
      </c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 s="61" t="s">
        <v>243</v>
      </c>
      <c r="B126" s="62">
        <v>46106</v>
      </c>
      <c r="C126" s="63" t="s">
        <v>3356</v>
      </c>
      <c r="D126" s="67">
        <v>360</v>
      </c>
      <c r="E126" s="67"/>
      <c r="F126" s="61" t="str">
        <f t="shared" si="1"/>
        <v>借</v>
      </c>
      <c r="G126" s="64">
        <f>SUM(D$6:E126)</f>
        <v>100297</v>
      </c>
      <c r="H126" s="61"/>
      <c r="I126" s="61" t="s">
        <v>3357</v>
      </c>
      <c r="J126" s="61" t="s">
        <v>114</v>
      </c>
      <c r="K126" s="64">
        <v>360</v>
      </c>
      <c r="L126" s="61"/>
      <c r="M126" s="65" t="s">
        <v>933</v>
      </c>
      <c r="N126" s="61"/>
      <c r="O126" s="61"/>
      <c r="P126" s="61"/>
      <c r="Q126" s="61"/>
      <c r="R126" s="61">
        <v>542797</v>
      </c>
      <c r="S126" s="66" t="s">
        <v>43</v>
      </c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 s="61" t="s">
        <v>243</v>
      </c>
      <c r="B127" s="62">
        <v>46106</v>
      </c>
      <c r="C127" s="63" t="s">
        <v>3358</v>
      </c>
      <c r="D127" s="67">
        <v>372</v>
      </c>
      <c r="E127" s="67"/>
      <c r="F127" s="61" t="str">
        <f t="shared" si="1"/>
        <v>借</v>
      </c>
      <c r="G127" s="64">
        <f>SUM(D$6:E127)</f>
        <v>100669</v>
      </c>
      <c r="H127" s="61"/>
      <c r="I127" s="61" t="s">
        <v>3359</v>
      </c>
      <c r="J127" s="61" t="s">
        <v>114</v>
      </c>
      <c r="K127" s="64">
        <v>372</v>
      </c>
      <c r="L127" s="61"/>
      <c r="M127" s="65" t="s">
        <v>267</v>
      </c>
      <c r="N127" s="61"/>
      <c r="O127" s="61"/>
      <c r="P127" s="61"/>
      <c r="Q127" s="61"/>
      <c r="R127" s="61">
        <v>542805</v>
      </c>
      <c r="S127" s="66" t="s">
        <v>43</v>
      </c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 s="61" t="s">
        <v>243</v>
      </c>
      <c r="B128" s="62">
        <v>46106</v>
      </c>
      <c r="C128" s="63" t="s">
        <v>3360</v>
      </c>
      <c r="D128" s="67">
        <v>376</v>
      </c>
      <c r="E128" s="67"/>
      <c r="F128" s="61" t="str">
        <f t="shared" si="1"/>
        <v>借</v>
      </c>
      <c r="G128" s="64">
        <f>SUM(D$6:E128)</f>
        <v>101045</v>
      </c>
      <c r="H128" s="61"/>
      <c r="I128" s="61" t="s">
        <v>3361</v>
      </c>
      <c r="J128" s="61" t="s">
        <v>114</v>
      </c>
      <c r="K128" s="64">
        <v>376</v>
      </c>
      <c r="L128" s="61"/>
      <c r="M128" s="65" t="s">
        <v>295</v>
      </c>
      <c r="N128" s="61"/>
      <c r="O128" s="61"/>
      <c r="P128" s="61"/>
      <c r="Q128" s="61"/>
      <c r="R128" s="61">
        <v>542805</v>
      </c>
      <c r="S128" s="66" t="s">
        <v>43</v>
      </c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 s="61" t="s">
        <v>243</v>
      </c>
      <c r="B129" s="62">
        <v>46106</v>
      </c>
      <c r="C129" s="63" t="s">
        <v>3362</v>
      </c>
      <c r="D129" s="67">
        <v>400</v>
      </c>
      <c r="E129" s="67"/>
      <c r="F129" s="61" t="str">
        <f t="shared" si="1"/>
        <v>借</v>
      </c>
      <c r="G129" s="64">
        <f>SUM(D$6:E129)</f>
        <v>101445</v>
      </c>
      <c r="H129" s="61"/>
      <c r="I129" s="61" t="s">
        <v>3363</v>
      </c>
      <c r="J129" s="61" t="s">
        <v>114</v>
      </c>
      <c r="K129" s="64">
        <v>400</v>
      </c>
      <c r="L129" s="61"/>
      <c r="M129" s="65" t="s">
        <v>271</v>
      </c>
      <c r="N129" s="61"/>
      <c r="O129" s="61"/>
      <c r="P129" s="61"/>
      <c r="Q129" s="61"/>
      <c r="R129" s="61">
        <v>542797</v>
      </c>
      <c r="S129" s="66" t="s">
        <v>43</v>
      </c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 s="61" t="s">
        <v>243</v>
      </c>
      <c r="B130" s="62">
        <v>46106</v>
      </c>
      <c r="C130" s="63" t="s">
        <v>3364</v>
      </c>
      <c r="D130" s="67">
        <v>400</v>
      </c>
      <c r="E130" s="67"/>
      <c r="F130" s="61" t="str">
        <f t="shared" si="1"/>
        <v>借</v>
      </c>
      <c r="G130" s="64">
        <f>SUM(D$6:E130)</f>
        <v>101845</v>
      </c>
      <c r="H130" s="61"/>
      <c r="I130" s="61" t="s">
        <v>3365</v>
      </c>
      <c r="J130" s="61" t="s">
        <v>114</v>
      </c>
      <c r="K130" s="64">
        <v>400</v>
      </c>
      <c r="L130" s="61"/>
      <c r="M130" s="65" t="s">
        <v>1636</v>
      </c>
      <c r="N130" s="61"/>
      <c r="O130" s="61"/>
      <c r="P130" s="61"/>
      <c r="Q130" s="61"/>
      <c r="R130" s="61">
        <v>542805</v>
      </c>
      <c r="S130" s="66" t="s">
        <v>43</v>
      </c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 s="61" t="s">
        <v>243</v>
      </c>
      <c r="B131" s="62">
        <v>46106</v>
      </c>
      <c r="C131" s="63" t="s">
        <v>3366</v>
      </c>
      <c r="D131" s="67">
        <v>448</v>
      </c>
      <c r="E131" s="67"/>
      <c r="F131" s="61" t="str">
        <f t="shared" si="1"/>
        <v>借</v>
      </c>
      <c r="G131" s="64">
        <f>SUM(D$6:E131)</f>
        <v>102293</v>
      </c>
      <c r="H131" s="61"/>
      <c r="I131" s="61" t="s">
        <v>3367</v>
      </c>
      <c r="J131" s="61" t="s">
        <v>114</v>
      </c>
      <c r="K131" s="64">
        <v>448</v>
      </c>
      <c r="L131" s="61"/>
      <c r="M131" s="65" t="s">
        <v>275</v>
      </c>
      <c r="N131" s="61"/>
      <c r="O131" s="61"/>
      <c r="P131" s="61"/>
      <c r="Q131" s="61"/>
      <c r="R131" s="61">
        <v>542805</v>
      </c>
      <c r="S131" s="66" t="s">
        <v>43</v>
      </c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 s="61" t="s">
        <v>243</v>
      </c>
      <c r="B132" s="62">
        <v>46106</v>
      </c>
      <c r="C132" s="63" t="s">
        <v>3368</v>
      </c>
      <c r="D132" s="67">
        <v>460</v>
      </c>
      <c r="E132" s="67"/>
      <c r="F132" s="61" t="str">
        <f t="shared" si="1"/>
        <v>借</v>
      </c>
      <c r="G132" s="64">
        <f>SUM(D$6:E132)</f>
        <v>102753</v>
      </c>
      <c r="H132" s="61"/>
      <c r="I132" s="61" t="s">
        <v>3369</v>
      </c>
      <c r="J132" s="61" t="s">
        <v>114</v>
      </c>
      <c r="K132" s="64">
        <v>460</v>
      </c>
      <c r="L132" s="61"/>
      <c r="M132" s="65" t="s">
        <v>396</v>
      </c>
      <c r="N132" s="61"/>
      <c r="O132" s="61"/>
      <c r="P132" s="61"/>
      <c r="Q132" s="61"/>
      <c r="R132" s="61">
        <v>542805</v>
      </c>
      <c r="S132" s="66" t="s">
        <v>43</v>
      </c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 s="61" t="s">
        <v>243</v>
      </c>
      <c r="B133" s="62">
        <v>46106</v>
      </c>
      <c r="C133" s="63" t="s">
        <v>3370</v>
      </c>
      <c r="D133" s="67">
        <v>468</v>
      </c>
      <c r="E133" s="67"/>
      <c r="F133" s="61" t="str">
        <f t="shared" si="1"/>
        <v>借</v>
      </c>
      <c r="G133" s="64">
        <f>SUM(D$6:E133)</f>
        <v>103221</v>
      </c>
      <c r="H133" s="61"/>
      <c r="I133" s="61" t="s">
        <v>3371</v>
      </c>
      <c r="J133" s="61" t="s">
        <v>114</v>
      </c>
      <c r="K133" s="64">
        <v>468</v>
      </c>
      <c r="L133" s="61"/>
      <c r="M133" s="65" t="s">
        <v>298</v>
      </c>
      <c r="N133" s="61"/>
      <c r="O133" s="61"/>
      <c r="P133" s="61"/>
      <c r="Q133" s="61"/>
      <c r="R133" s="61">
        <v>542805</v>
      </c>
      <c r="S133" s="66" t="s">
        <v>43</v>
      </c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 s="61" t="s">
        <v>243</v>
      </c>
      <c r="B134" s="62">
        <v>46106</v>
      </c>
      <c r="C134" s="63" t="s">
        <v>3372</v>
      </c>
      <c r="D134" s="67">
        <v>504</v>
      </c>
      <c r="E134" s="67"/>
      <c r="F134" s="61" t="str">
        <f t="shared" si="1"/>
        <v>借</v>
      </c>
      <c r="G134" s="64">
        <f>SUM(D$6:E134)</f>
        <v>103725</v>
      </c>
      <c r="H134" s="61"/>
      <c r="I134" s="61" t="s">
        <v>3373</v>
      </c>
      <c r="J134" s="61" t="s">
        <v>114</v>
      </c>
      <c r="K134" s="64">
        <v>504</v>
      </c>
      <c r="L134" s="61"/>
      <c r="M134" s="65" t="s">
        <v>301</v>
      </c>
      <c r="N134" s="61"/>
      <c r="O134" s="61"/>
      <c r="P134" s="61"/>
      <c r="Q134" s="61"/>
      <c r="R134" s="61">
        <v>542805</v>
      </c>
      <c r="S134" s="66" t="s">
        <v>43</v>
      </c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 s="61" t="s">
        <v>243</v>
      </c>
      <c r="B135" s="62">
        <v>46106</v>
      </c>
      <c r="C135" s="63" t="s">
        <v>3374</v>
      </c>
      <c r="D135" s="67">
        <v>532</v>
      </c>
      <c r="E135" s="67"/>
      <c r="F135" s="61" t="str">
        <f t="shared" ref="F135:F195" si="2">IF(G135&gt;0,"借","貸")</f>
        <v>借</v>
      </c>
      <c r="G135" s="64">
        <f>SUM(D$6:E135)</f>
        <v>104257</v>
      </c>
      <c r="H135" s="61"/>
      <c r="I135" s="61" t="s">
        <v>3375</v>
      </c>
      <c r="J135" s="61" t="s">
        <v>114</v>
      </c>
      <c r="K135" s="64">
        <v>532</v>
      </c>
      <c r="L135" s="61"/>
      <c r="M135" s="65" t="s">
        <v>1096</v>
      </c>
      <c r="N135" s="61"/>
      <c r="O135" s="61"/>
      <c r="P135" s="61"/>
      <c r="Q135" s="61"/>
      <c r="R135" s="61">
        <v>542805</v>
      </c>
      <c r="S135" s="66" t="s">
        <v>43</v>
      </c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 s="61" t="s">
        <v>243</v>
      </c>
      <c r="B136" s="62">
        <v>46106</v>
      </c>
      <c r="C136" s="63" t="s">
        <v>3376</v>
      </c>
      <c r="D136" s="67">
        <v>552</v>
      </c>
      <c r="E136" s="67"/>
      <c r="F136" s="61" t="str">
        <f t="shared" si="2"/>
        <v>借</v>
      </c>
      <c r="G136" s="64">
        <f>SUM(D$6:E136)</f>
        <v>104809</v>
      </c>
      <c r="H136" s="61"/>
      <c r="I136" s="61" t="s">
        <v>3377</v>
      </c>
      <c r="J136" s="61" t="s">
        <v>114</v>
      </c>
      <c r="K136" s="64">
        <v>552</v>
      </c>
      <c r="L136" s="61"/>
      <c r="M136" s="65" t="s">
        <v>265</v>
      </c>
      <c r="N136" s="61"/>
      <c r="O136" s="61"/>
      <c r="P136" s="61"/>
      <c r="Q136" s="61"/>
      <c r="R136" s="61">
        <v>542797</v>
      </c>
      <c r="S136" s="66" t="s">
        <v>43</v>
      </c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 s="61" t="s">
        <v>243</v>
      </c>
      <c r="B137" s="62">
        <v>46106</v>
      </c>
      <c r="C137" s="63" t="s">
        <v>3378</v>
      </c>
      <c r="D137" s="67">
        <v>560</v>
      </c>
      <c r="E137" s="67"/>
      <c r="F137" s="61" t="str">
        <f t="shared" si="2"/>
        <v>借</v>
      </c>
      <c r="G137" s="64">
        <f>SUM(D$6:E137)</f>
        <v>105369</v>
      </c>
      <c r="H137" s="61"/>
      <c r="I137" s="61" t="s">
        <v>3379</v>
      </c>
      <c r="J137" s="61" t="s">
        <v>114</v>
      </c>
      <c r="K137" s="64">
        <v>560</v>
      </c>
      <c r="L137" s="61"/>
      <c r="M137" s="65" t="s">
        <v>266</v>
      </c>
      <c r="N137" s="61"/>
      <c r="O137" s="61"/>
      <c r="P137" s="61"/>
      <c r="Q137" s="61"/>
      <c r="R137" s="61">
        <v>542805</v>
      </c>
      <c r="S137" s="66" t="s">
        <v>43</v>
      </c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 s="61" t="s">
        <v>243</v>
      </c>
      <c r="B138" s="62">
        <v>46106</v>
      </c>
      <c r="C138" s="63" t="s">
        <v>3380</v>
      </c>
      <c r="D138" s="67">
        <v>612</v>
      </c>
      <c r="E138" s="67"/>
      <c r="F138" s="61" t="str">
        <f t="shared" si="2"/>
        <v>借</v>
      </c>
      <c r="G138" s="64">
        <f>SUM(D$6:E138)</f>
        <v>105981</v>
      </c>
      <c r="H138" s="61"/>
      <c r="I138" s="61" t="s">
        <v>3381</v>
      </c>
      <c r="J138" s="61" t="s">
        <v>114</v>
      </c>
      <c r="K138" s="64">
        <v>612</v>
      </c>
      <c r="L138" s="61"/>
      <c r="M138" s="65" t="s">
        <v>392</v>
      </c>
      <c r="N138" s="61"/>
      <c r="O138" s="61"/>
      <c r="P138" s="61"/>
      <c r="Q138" s="61"/>
      <c r="R138" s="61">
        <v>542805</v>
      </c>
      <c r="S138" s="66" t="s">
        <v>43</v>
      </c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 s="61" t="s">
        <v>243</v>
      </c>
      <c r="B139" s="62">
        <v>46106</v>
      </c>
      <c r="C139" s="63" t="s">
        <v>3382</v>
      </c>
      <c r="D139" s="67">
        <v>616</v>
      </c>
      <c r="E139" s="67"/>
      <c r="F139" s="61" t="str">
        <f t="shared" si="2"/>
        <v>借</v>
      </c>
      <c r="G139" s="64">
        <f>SUM(D$6:E139)</f>
        <v>106597</v>
      </c>
      <c r="H139" s="61"/>
      <c r="I139" s="61" t="s">
        <v>3383</v>
      </c>
      <c r="J139" s="61" t="s">
        <v>114</v>
      </c>
      <c r="K139" s="64">
        <v>616</v>
      </c>
      <c r="L139" s="61"/>
      <c r="M139" s="65" t="s">
        <v>368</v>
      </c>
      <c r="N139" s="61"/>
      <c r="O139" s="61"/>
      <c r="P139" s="61"/>
      <c r="Q139" s="61"/>
      <c r="R139" s="61">
        <v>542797</v>
      </c>
      <c r="S139" s="66" t="s">
        <v>43</v>
      </c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 s="61" t="s">
        <v>243</v>
      </c>
      <c r="B140" s="62">
        <v>46106</v>
      </c>
      <c r="C140" s="63" t="s">
        <v>3384</v>
      </c>
      <c r="D140" s="67">
        <v>644</v>
      </c>
      <c r="E140" s="67"/>
      <c r="F140" s="61" t="str">
        <f t="shared" si="2"/>
        <v>借</v>
      </c>
      <c r="G140" s="64">
        <f>SUM(D$6:E140)</f>
        <v>107241</v>
      </c>
      <c r="H140" s="61"/>
      <c r="I140" s="61" t="s">
        <v>3385</v>
      </c>
      <c r="J140" s="61" t="s">
        <v>114</v>
      </c>
      <c r="K140" s="64">
        <v>644</v>
      </c>
      <c r="L140" s="61"/>
      <c r="M140" s="65" t="s">
        <v>978</v>
      </c>
      <c r="N140" s="61"/>
      <c r="O140" s="61"/>
      <c r="P140" s="61"/>
      <c r="Q140" s="61"/>
      <c r="R140" s="61">
        <v>542797</v>
      </c>
      <c r="S140" s="66" t="s">
        <v>43</v>
      </c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 s="61" t="s">
        <v>243</v>
      </c>
      <c r="B141" s="62">
        <v>46106</v>
      </c>
      <c r="C141" s="63" t="s">
        <v>3386</v>
      </c>
      <c r="D141" s="67">
        <v>704</v>
      </c>
      <c r="E141" s="67"/>
      <c r="F141" s="61" t="str">
        <f t="shared" si="2"/>
        <v>借</v>
      </c>
      <c r="G141" s="64">
        <f>SUM(D$6:E141)</f>
        <v>107945</v>
      </c>
      <c r="H141" s="61"/>
      <c r="I141" s="61" t="s">
        <v>3387</v>
      </c>
      <c r="J141" s="61" t="s">
        <v>114</v>
      </c>
      <c r="K141" s="64">
        <v>704</v>
      </c>
      <c r="L141" s="61"/>
      <c r="M141" s="65" t="s">
        <v>1179</v>
      </c>
      <c r="N141" s="61"/>
      <c r="O141" s="61"/>
      <c r="P141" s="61"/>
      <c r="Q141" s="61"/>
      <c r="R141" s="61">
        <v>542805</v>
      </c>
      <c r="S141" s="66" t="s">
        <v>43</v>
      </c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 s="61" t="s">
        <v>243</v>
      </c>
      <c r="B142" s="62">
        <v>46106</v>
      </c>
      <c r="C142" s="63" t="s">
        <v>3388</v>
      </c>
      <c r="D142" s="67">
        <v>729</v>
      </c>
      <c r="E142" s="67"/>
      <c r="F142" s="61" t="str">
        <f t="shared" si="2"/>
        <v>借</v>
      </c>
      <c r="G142" s="64">
        <f>SUM(D$6:E142)</f>
        <v>108674</v>
      </c>
      <c r="H142" s="61"/>
      <c r="I142" s="61" t="s">
        <v>3389</v>
      </c>
      <c r="J142" s="61" t="s">
        <v>114</v>
      </c>
      <c r="K142" s="64">
        <v>729</v>
      </c>
      <c r="L142" s="61"/>
      <c r="M142" s="65" t="s">
        <v>1095</v>
      </c>
      <c r="N142" s="61"/>
      <c r="O142" s="61"/>
      <c r="P142" s="61"/>
      <c r="Q142" s="61"/>
      <c r="R142" s="61">
        <v>542805</v>
      </c>
      <c r="S142" s="66" t="s">
        <v>43</v>
      </c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 s="61" t="s">
        <v>243</v>
      </c>
      <c r="B143" s="62">
        <v>46106</v>
      </c>
      <c r="C143" s="63" t="s">
        <v>3390</v>
      </c>
      <c r="D143" s="67">
        <v>760</v>
      </c>
      <c r="E143" s="67"/>
      <c r="F143" s="61" t="str">
        <f t="shared" si="2"/>
        <v>借</v>
      </c>
      <c r="G143" s="64">
        <f>SUM(D$6:E143)</f>
        <v>109434</v>
      </c>
      <c r="H143" s="61"/>
      <c r="I143" s="61" t="s">
        <v>3391</v>
      </c>
      <c r="J143" s="61" t="s">
        <v>114</v>
      </c>
      <c r="K143" s="64">
        <v>760</v>
      </c>
      <c r="L143" s="61"/>
      <c r="M143" s="65" t="s">
        <v>1667</v>
      </c>
      <c r="N143" s="61"/>
      <c r="O143" s="61"/>
      <c r="P143" s="61"/>
      <c r="Q143" s="61"/>
      <c r="R143" s="61">
        <v>542805</v>
      </c>
      <c r="S143" s="66" t="s">
        <v>43</v>
      </c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 s="61" t="s">
        <v>243</v>
      </c>
      <c r="B144" s="62">
        <v>46106</v>
      </c>
      <c r="C144" s="63" t="s">
        <v>3392</v>
      </c>
      <c r="D144" s="67">
        <v>791</v>
      </c>
      <c r="E144" s="67"/>
      <c r="F144" s="61" t="str">
        <f t="shared" si="2"/>
        <v>借</v>
      </c>
      <c r="G144" s="64">
        <f>SUM(D$6:E144)</f>
        <v>110225</v>
      </c>
      <c r="H144" s="61"/>
      <c r="I144" s="61" t="s">
        <v>3393</v>
      </c>
      <c r="J144" s="61" t="s">
        <v>114</v>
      </c>
      <c r="K144" s="64">
        <v>791</v>
      </c>
      <c r="L144" s="61"/>
      <c r="M144" s="65" t="s">
        <v>300</v>
      </c>
      <c r="N144" s="61"/>
      <c r="O144" s="61"/>
      <c r="P144" s="61"/>
      <c r="Q144" s="61"/>
      <c r="R144" s="61">
        <v>542797</v>
      </c>
      <c r="S144" s="66" t="s">
        <v>43</v>
      </c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 s="61" t="s">
        <v>243</v>
      </c>
      <c r="B145" s="62">
        <v>46106</v>
      </c>
      <c r="C145" s="63" t="s">
        <v>3394</v>
      </c>
      <c r="D145" s="67">
        <v>832</v>
      </c>
      <c r="E145" s="67"/>
      <c r="F145" s="61" t="str">
        <f t="shared" si="2"/>
        <v>借</v>
      </c>
      <c r="G145" s="64">
        <f>SUM(D$6:E145)</f>
        <v>111057</v>
      </c>
      <c r="H145" s="61"/>
      <c r="I145" s="61" t="s">
        <v>3395</v>
      </c>
      <c r="J145" s="61" t="s">
        <v>114</v>
      </c>
      <c r="K145" s="64">
        <v>832</v>
      </c>
      <c r="L145" s="61"/>
      <c r="M145" s="65" t="s">
        <v>1639</v>
      </c>
      <c r="N145" s="61"/>
      <c r="O145" s="61"/>
      <c r="P145" s="61"/>
      <c r="Q145" s="61"/>
      <c r="R145" s="61">
        <v>542805</v>
      </c>
      <c r="S145" s="66" t="s">
        <v>43</v>
      </c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 s="61" t="s">
        <v>243</v>
      </c>
      <c r="B146" s="62">
        <v>46106</v>
      </c>
      <c r="C146" s="63" t="s">
        <v>3396</v>
      </c>
      <c r="D146" s="67">
        <v>1016</v>
      </c>
      <c r="E146" s="67"/>
      <c r="F146" s="61" t="str">
        <f t="shared" si="2"/>
        <v>借</v>
      </c>
      <c r="G146" s="64">
        <f>SUM(D$6:E146)</f>
        <v>112073</v>
      </c>
      <c r="H146" s="61"/>
      <c r="I146" s="61" t="s">
        <v>3397</v>
      </c>
      <c r="J146" s="61" t="s">
        <v>114</v>
      </c>
      <c r="K146" s="64">
        <v>1016</v>
      </c>
      <c r="L146" s="61"/>
      <c r="M146" s="65" t="s">
        <v>303</v>
      </c>
      <c r="N146" s="61"/>
      <c r="O146" s="61"/>
      <c r="P146" s="61"/>
      <c r="Q146" s="61"/>
      <c r="R146" s="61">
        <v>542805</v>
      </c>
      <c r="S146" s="66" t="s">
        <v>43</v>
      </c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 s="61" t="s">
        <v>243</v>
      </c>
      <c r="B147" s="62">
        <v>46106</v>
      </c>
      <c r="C147" s="63" t="s">
        <v>3398</v>
      </c>
      <c r="D147" s="67">
        <v>1127</v>
      </c>
      <c r="E147" s="67"/>
      <c r="F147" s="61" t="str">
        <f t="shared" si="2"/>
        <v>借</v>
      </c>
      <c r="G147" s="64">
        <f>SUM(D$6:E147)</f>
        <v>113200</v>
      </c>
      <c r="H147" s="61"/>
      <c r="I147" s="61" t="s">
        <v>3399</v>
      </c>
      <c r="J147" s="61" t="s">
        <v>114</v>
      </c>
      <c r="K147" s="64">
        <v>1127</v>
      </c>
      <c r="L147" s="61"/>
      <c r="M147" s="65" t="s">
        <v>1099</v>
      </c>
      <c r="N147" s="61"/>
      <c r="O147" s="61"/>
      <c r="P147" s="61"/>
      <c r="Q147" s="61"/>
      <c r="R147" s="61">
        <v>542805</v>
      </c>
      <c r="S147" s="66" t="s">
        <v>43</v>
      </c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 s="61" t="s">
        <v>243</v>
      </c>
      <c r="B148" s="62">
        <v>46106</v>
      </c>
      <c r="C148" s="63" t="s">
        <v>3400</v>
      </c>
      <c r="D148" s="67">
        <v>1340</v>
      </c>
      <c r="E148" s="67"/>
      <c r="F148" s="61" t="str">
        <f t="shared" si="2"/>
        <v>借</v>
      </c>
      <c r="G148" s="64">
        <f>SUM(D$6:E148)</f>
        <v>114540</v>
      </c>
      <c r="H148" s="61"/>
      <c r="I148" s="61" t="s">
        <v>3401</v>
      </c>
      <c r="J148" s="61" t="s">
        <v>114</v>
      </c>
      <c r="K148" s="64">
        <v>1340</v>
      </c>
      <c r="L148" s="61"/>
      <c r="M148" s="65" t="s">
        <v>1475</v>
      </c>
      <c r="N148" s="61"/>
      <c r="O148" s="61"/>
      <c r="P148" s="61"/>
      <c r="Q148" s="61"/>
      <c r="R148" s="61">
        <v>542805</v>
      </c>
      <c r="S148" s="66" t="s">
        <v>43</v>
      </c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 s="61" t="s">
        <v>243</v>
      </c>
      <c r="B149" s="62">
        <v>46106</v>
      </c>
      <c r="C149" s="63" t="s">
        <v>3402</v>
      </c>
      <c r="D149" s="67">
        <v>1528</v>
      </c>
      <c r="E149" s="67"/>
      <c r="F149" s="61" t="str">
        <f t="shared" si="2"/>
        <v>借</v>
      </c>
      <c r="G149" s="64">
        <f>SUM(D$6:E149)</f>
        <v>116068</v>
      </c>
      <c r="H149" s="61"/>
      <c r="I149" s="61" t="s">
        <v>3403</v>
      </c>
      <c r="J149" s="61" t="s">
        <v>114</v>
      </c>
      <c r="K149" s="64">
        <v>1528</v>
      </c>
      <c r="L149" s="61"/>
      <c r="M149" s="65" t="s">
        <v>264</v>
      </c>
      <c r="N149" s="61"/>
      <c r="O149" s="61"/>
      <c r="P149" s="61"/>
      <c r="Q149" s="61"/>
      <c r="R149" s="61">
        <v>542805</v>
      </c>
      <c r="S149" s="66" t="s">
        <v>43</v>
      </c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 s="61" t="s">
        <v>243</v>
      </c>
      <c r="B150" s="62">
        <v>46106</v>
      </c>
      <c r="C150" s="63" t="s">
        <v>3404</v>
      </c>
      <c r="D150" s="67">
        <v>1628</v>
      </c>
      <c r="E150" s="67"/>
      <c r="F150" s="61" t="str">
        <f t="shared" si="2"/>
        <v>借</v>
      </c>
      <c r="G150" s="64">
        <f>SUM(D$6:E150)</f>
        <v>117696</v>
      </c>
      <c r="H150" s="61"/>
      <c r="I150" s="61" t="s">
        <v>3405</v>
      </c>
      <c r="J150" s="61" t="s">
        <v>114</v>
      </c>
      <c r="K150" s="64">
        <v>1628</v>
      </c>
      <c r="L150" s="61"/>
      <c r="M150" s="65" t="s">
        <v>299</v>
      </c>
      <c r="N150" s="61"/>
      <c r="O150" s="61"/>
      <c r="P150" s="61"/>
      <c r="Q150" s="61"/>
      <c r="R150" s="61">
        <v>542805</v>
      </c>
      <c r="S150" s="66" t="s">
        <v>43</v>
      </c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 s="61" t="s">
        <v>243</v>
      </c>
      <c r="B151" s="62">
        <v>46106</v>
      </c>
      <c r="C151" s="63" t="s">
        <v>3406</v>
      </c>
      <c r="D151" s="67">
        <v>1636</v>
      </c>
      <c r="E151" s="67"/>
      <c r="F151" s="61" t="str">
        <f t="shared" si="2"/>
        <v>借</v>
      </c>
      <c r="G151" s="64">
        <f>SUM(D$6:E151)</f>
        <v>119332</v>
      </c>
      <c r="H151" s="61"/>
      <c r="I151" s="61" t="s">
        <v>3407</v>
      </c>
      <c r="J151" s="61" t="s">
        <v>114</v>
      </c>
      <c r="K151" s="64">
        <v>1636</v>
      </c>
      <c r="L151" s="61"/>
      <c r="M151" s="65" t="s">
        <v>359</v>
      </c>
      <c r="N151" s="61"/>
      <c r="O151" s="61"/>
      <c r="P151" s="61"/>
      <c r="Q151" s="61"/>
      <c r="R151" s="61">
        <v>542805</v>
      </c>
      <c r="S151" s="66" t="s">
        <v>43</v>
      </c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 s="61" t="s">
        <v>243</v>
      </c>
      <c r="B152" s="62">
        <v>46106</v>
      </c>
      <c r="C152" s="63" t="s">
        <v>3408</v>
      </c>
      <c r="D152" s="67">
        <v>1652</v>
      </c>
      <c r="E152" s="67"/>
      <c r="F152" s="61" t="str">
        <f t="shared" si="2"/>
        <v>借</v>
      </c>
      <c r="G152" s="64">
        <f>SUM(D$6:E152)</f>
        <v>120984</v>
      </c>
      <c r="H152" s="61"/>
      <c r="I152" s="61" t="s">
        <v>3409</v>
      </c>
      <c r="J152" s="61" t="s">
        <v>114</v>
      </c>
      <c r="K152" s="64">
        <v>1652</v>
      </c>
      <c r="L152" s="61"/>
      <c r="M152" s="65" t="s">
        <v>1645</v>
      </c>
      <c r="N152" s="61"/>
      <c r="O152" s="61"/>
      <c r="P152" s="61"/>
      <c r="Q152" s="61"/>
      <c r="R152" s="61">
        <v>542805</v>
      </c>
      <c r="S152" s="66" t="s">
        <v>43</v>
      </c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 s="61" t="s">
        <v>243</v>
      </c>
      <c r="B153" s="62">
        <v>46106</v>
      </c>
      <c r="C153" s="63" t="s">
        <v>3410</v>
      </c>
      <c r="D153" s="67">
        <v>1747</v>
      </c>
      <c r="E153" s="67"/>
      <c r="F153" s="61" t="str">
        <f t="shared" si="2"/>
        <v>借</v>
      </c>
      <c r="G153" s="64">
        <f>SUM(D$6:E153)</f>
        <v>122731</v>
      </c>
      <c r="H153" s="61"/>
      <c r="I153" s="61" t="s">
        <v>3411</v>
      </c>
      <c r="J153" s="61" t="s">
        <v>114</v>
      </c>
      <c r="K153" s="64">
        <v>1747</v>
      </c>
      <c r="L153" s="61"/>
      <c r="M153" s="65" t="s">
        <v>278</v>
      </c>
      <c r="N153" s="61"/>
      <c r="O153" s="61"/>
      <c r="P153" s="61"/>
      <c r="Q153" s="61"/>
      <c r="R153" s="61">
        <v>542805</v>
      </c>
      <c r="S153" s="66" t="s">
        <v>43</v>
      </c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 s="61" t="s">
        <v>243</v>
      </c>
      <c r="B154" s="62">
        <v>46106</v>
      </c>
      <c r="C154" s="63" t="s">
        <v>3412</v>
      </c>
      <c r="D154" s="67">
        <v>1856</v>
      </c>
      <c r="E154" s="67"/>
      <c r="F154" s="61" t="str">
        <f t="shared" si="2"/>
        <v>借</v>
      </c>
      <c r="G154" s="64">
        <f>SUM(D$6:E154)</f>
        <v>124587</v>
      </c>
      <c r="H154" s="61"/>
      <c r="I154" s="61" t="s">
        <v>3413</v>
      </c>
      <c r="J154" s="61" t="s">
        <v>114</v>
      </c>
      <c r="K154" s="64">
        <v>1856</v>
      </c>
      <c r="L154" s="61"/>
      <c r="M154" s="65" t="s">
        <v>304</v>
      </c>
      <c r="N154" s="61"/>
      <c r="O154" s="61"/>
      <c r="P154" s="61"/>
      <c r="Q154" s="61"/>
      <c r="R154" s="61">
        <v>542805</v>
      </c>
      <c r="S154" s="66" t="s">
        <v>43</v>
      </c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 s="61" t="s">
        <v>243</v>
      </c>
      <c r="B155" s="62">
        <v>46106</v>
      </c>
      <c r="C155" s="63" t="s">
        <v>3414</v>
      </c>
      <c r="D155" s="67">
        <v>1868</v>
      </c>
      <c r="E155" s="67"/>
      <c r="F155" s="61" t="str">
        <f t="shared" si="2"/>
        <v>借</v>
      </c>
      <c r="G155" s="64">
        <f>SUM(D$6:E155)</f>
        <v>126455</v>
      </c>
      <c r="H155" s="61"/>
      <c r="I155" s="61" t="s">
        <v>3415</v>
      </c>
      <c r="J155" s="61" t="s">
        <v>114</v>
      </c>
      <c r="K155" s="64">
        <v>1868</v>
      </c>
      <c r="L155" s="61"/>
      <c r="M155" s="65" t="s">
        <v>1092</v>
      </c>
      <c r="N155" s="61"/>
      <c r="O155" s="61"/>
      <c r="P155" s="61"/>
      <c r="Q155" s="61"/>
      <c r="R155" s="61">
        <v>542805</v>
      </c>
      <c r="S155" s="66" t="s">
        <v>43</v>
      </c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 s="61" t="s">
        <v>243</v>
      </c>
      <c r="B156" s="62">
        <v>46106</v>
      </c>
      <c r="C156" s="63" t="s">
        <v>3416</v>
      </c>
      <c r="D156" s="67">
        <v>2016</v>
      </c>
      <c r="E156" s="67"/>
      <c r="F156" s="61" t="str">
        <f t="shared" si="2"/>
        <v>借</v>
      </c>
      <c r="G156" s="64">
        <f>SUM(D$6:E156)</f>
        <v>128471</v>
      </c>
      <c r="H156" s="61"/>
      <c r="I156" s="61" t="s">
        <v>3417</v>
      </c>
      <c r="J156" s="61" t="s">
        <v>114</v>
      </c>
      <c r="K156" s="64">
        <v>2016</v>
      </c>
      <c r="L156" s="61"/>
      <c r="M156" s="65" t="s">
        <v>2162</v>
      </c>
      <c r="N156" s="61"/>
      <c r="O156" s="61"/>
      <c r="P156" s="61"/>
      <c r="Q156" s="61"/>
      <c r="R156" s="61">
        <v>542805</v>
      </c>
      <c r="S156" s="66" t="s">
        <v>43</v>
      </c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 s="61" t="s">
        <v>243</v>
      </c>
      <c r="B157" s="62">
        <v>46106</v>
      </c>
      <c r="C157" s="63" t="s">
        <v>3418</v>
      </c>
      <c r="D157" s="67">
        <v>2052</v>
      </c>
      <c r="E157" s="67"/>
      <c r="F157" s="61" t="str">
        <f t="shared" si="2"/>
        <v>借</v>
      </c>
      <c r="G157" s="64">
        <f>SUM(D$6:E157)</f>
        <v>130523</v>
      </c>
      <c r="H157" s="61"/>
      <c r="I157" s="61" t="s">
        <v>3419</v>
      </c>
      <c r="J157" s="61" t="s">
        <v>114</v>
      </c>
      <c r="K157" s="64">
        <v>2052</v>
      </c>
      <c r="L157" s="61"/>
      <c r="M157" s="65" t="s">
        <v>1657</v>
      </c>
      <c r="N157" s="61"/>
      <c r="O157" s="61"/>
      <c r="P157" s="61"/>
      <c r="Q157" s="61"/>
      <c r="R157" s="61">
        <v>542805</v>
      </c>
      <c r="S157" s="66" t="s">
        <v>43</v>
      </c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 s="61" t="s">
        <v>243</v>
      </c>
      <c r="B158" s="62">
        <v>46106</v>
      </c>
      <c r="C158" s="63" t="s">
        <v>3420</v>
      </c>
      <c r="D158" s="67">
        <v>2088</v>
      </c>
      <c r="E158" s="67"/>
      <c r="F158" s="61" t="str">
        <f t="shared" si="2"/>
        <v>借</v>
      </c>
      <c r="G158" s="64">
        <f>SUM(D$6:E158)</f>
        <v>132611</v>
      </c>
      <c r="H158" s="61"/>
      <c r="I158" s="61" t="s">
        <v>3421</v>
      </c>
      <c r="J158" s="61" t="s">
        <v>114</v>
      </c>
      <c r="K158" s="64">
        <v>2088</v>
      </c>
      <c r="L158" s="61"/>
      <c r="M158" s="65" t="s">
        <v>305</v>
      </c>
      <c r="N158" s="61"/>
      <c r="O158" s="61"/>
      <c r="P158" s="61"/>
      <c r="Q158" s="61"/>
      <c r="R158" s="61">
        <v>542805</v>
      </c>
      <c r="S158" s="66" t="s">
        <v>43</v>
      </c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 s="61" t="s">
        <v>243</v>
      </c>
      <c r="B159" s="62">
        <v>46106</v>
      </c>
      <c r="C159" s="63" t="s">
        <v>3422</v>
      </c>
      <c r="D159" s="67">
        <v>2096</v>
      </c>
      <c r="E159" s="67"/>
      <c r="F159" s="61" t="str">
        <f t="shared" si="2"/>
        <v>借</v>
      </c>
      <c r="G159" s="64">
        <f>SUM(D$6:E159)</f>
        <v>134707</v>
      </c>
      <c r="H159" s="61"/>
      <c r="I159" s="61" t="s">
        <v>3423</v>
      </c>
      <c r="J159" s="61" t="s">
        <v>114</v>
      </c>
      <c r="K159" s="64">
        <v>2096</v>
      </c>
      <c r="L159" s="61"/>
      <c r="M159" s="65" t="s">
        <v>306</v>
      </c>
      <c r="N159" s="61"/>
      <c r="O159" s="61"/>
      <c r="P159" s="61"/>
      <c r="Q159" s="61"/>
      <c r="R159" s="61">
        <v>542805</v>
      </c>
      <c r="S159" s="66" t="s">
        <v>43</v>
      </c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 s="61" t="s">
        <v>243</v>
      </c>
      <c r="B160" s="62">
        <v>46106</v>
      </c>
      <c r="C160" s="63" t="s">
        <v>3424</v>
      </c>
      <c r="D160" s="67">
        <v>2624</v>
      </c>
      <c r="E160" s="67"/>
      <c r="F160" s="61" t="str">
        <f t="shared" si="2"/>
        <v>借</v>
      </c>
      <c r="G160" s="64">
        <f>SUM(D$6:E160)</f>
        <v>137331</v>
      </c>
      <c r="H160" s="61"/>
      <c r="I160" s="61" t="s">
        <v>3425</v>
      </c>
      <c r="J160" s="61" t="s">
        <v>114</v>
      </c>
      <c r="K160" s="64">
        <v>2624</v>
      </c>
      <c r="L160" s="61"/>
      <c r="M160" s="65" t="s">
        <v>1640</v>
      </c>
      <c r="N160" s="61"/>
      <c r="O160" s="61"/>
      <c r="P160" s="61"/>
      <c r="Q160" s="61"/>
      <c r="R160" s="61">
        <v>542805</v>
      </c>
      <c r="S160" s="66" t="s">
        <v>43</v>
      </c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 s="61" t="s">
        <v>243</v>
      </c>
      <c r="B161" s="62">
        <v>46106</v>
      </c>
      <c r="C161" s="63" t="s">
        <v>3426</v>
      </c>
      <c r="D161" s="67">
        <v>2703</v>
      </c>
      <c r="E161" s="67"/>
      <c r="F161" s="61" t="str">
        <f t="shared" si="2"/>
        <v>借</v>
      </c>
      <c r="G161" s="64">
        <f>SUM(D$6:E161)</f>
        <v>140034</v>
      </c>
      <c r="H161" s="61"/>
      <c r="I161" s="61" t="s">
        <v>3427</v>
      </c>
      <c r="J161" s="61" t="s">
        <v>114</v>
      </c>
      <c r="K161" s="64">
        <v>2703</v>
      </c>
      <c r="L161" s="61"/>
      <c r="M161" s="65" t="s">
        <v>307</v>
      </c>
      <c r="N161" s="61"/>
      <c r="O161" s="61"/>
      <c r="P161" s="61"/>
      <c r="Q161" s="61"/>
      <c r="R161" s="61">
        <v>542805</v>
      </c>
      <c r="S161" s="66" t="s">
        <v>43</v>
      </c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 s="61" t="s">
        <v>243</v>
      </c>
      <c r="B162" s="62">
        <v>46106</v>
      </c>
      <c r="C162" s="63" t="s">
        <v>3428</v>
      </c>
      <c r="D162" s="67">
        <v>2804</v>
      </c>
      <c r="E162" s="67"/>
      <c r="F162" s="61" t="str">
        <f t="shared" si="2"/>
        <v>借</v>
      </c>
      <c r="G162" s="64">
        <f>SUM(D$6:E162)</f>
        <v>142838</v>
      </c>
      <c r="H162" s="61"/>
      <c r="I162" s="61" t="s">
        <v>3429</v>
      </c>
      <c r="J162" s="61" t="s">
        <v>114</v>
      </c>
      <c r="K162" s="64">
        <v>2804</v>
      </c>
      <c r="L162" s="61"/>
      <c r="M162" s="65" t="s">
        <v>1098</v>
      </c>
      <c r="N162" s="61"/>
      <c r="O162" s="61"/>
      <c r="P162" s="61"/>
      <c r="Q162" s="61"/>
      <c r="R162" s="61">
        <v>542805</v>
      </c>
      <c r="S162" s="66" t="s">
        <v>43</v>
      </c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 s="61" t="s">
        <v>243</v>
      </c>
      <c r="B163" s="62">
        <v>46106</v>
      </c>
      <c r="C163" s="63" t="s">
        <v>3430</v>
      </c>
      <c r="D163" s="67">
        <v>2932</v>
      </c>
      <c r="E163" s="67"/>
      <c r="F163" s="61" t="str">
        <f t="shared" si="2"/>
        <v>借</v>
      </c>
      <c r="G163" s="64">
        <f>SUM(D$6:E163)</f>
        <v>145770</v>
      </c>
      <c r="H163" s="61"/>
      <c r="I163" s="61" t="s">
        <v>3431</v>
      </c>
      <c r="J163" s="61" t="s">
        <v>114</v>
      </c>
      <c r="K163" s="64">
        <v>2932</v>
      </c>
      <c r="L163" s="61"/>
      <c r="M163" s="65" t="s">
        <v>271</v>
      </c>
      <c r="N163" s="61"/>
      <c r="O163" s="61"/>
      <c r="P163" s="61"/>
      <c r="Q163" s="61"/>
      <c r="R163" s="61">
        <v>542805</v>
      </c>
      <c r="S163" s="66" t="s">
        <v>43</v>
      </c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 s="61" t="s">
        <v>243</v>
      </c>
      <c r="B164" s="62">
        <v>46106</v>
      </c>
      <c r="C164" s="63" t="s">
        <v>3432</v>
      </c>
      <c r="D164" s="67">
        <v>4336</v>
      </c>
      <c r="E164" s="67"/>
      <c r="F164" s="61" t="str">
        <f t="shared" si="2"/>
        <v>借</v>
      </c>
      <c r="G164" s="64">
        <f>SUM(D$6:E164)</f>
        <v>150106</v>
      </c>
      <c r="H164" s="61"/>
      <c r="I164" s="61" t="s">
        <v>3433</v>
      </c>
      <c r="J164" s="61" t="s">
        <v>114</v>
      </c>
      <c r="K164" s="64">
        <v>4336</v>
      </c>
      <c r="L164" s="61"/>
      <c r="M164" s="65" t="s">
        <v>1620</v>
      </c>
      <c r="N164" s="61"/>
      <c r="O164" s="61"/>
      <c r="P164" s="61"/>
      <c r="Q164" s="61"/>
      <c r="R164" s="61">
        <v>542805</v>
      </c>
      <c r="S164" s="66" t="s">
        <v>43</v>
      </c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 s="61" t="s">
        <v>243</v>
      </c>
      <c r="B165" s="62">
        <v>46106</v>
      </c>
      <c r="C165" s="63" t="s">
        <v>3434</v>
      </c>
      <c r="D165" s="67">
        <v>6036</v>
      </c>
      <c r="E165" s="67"/>
      <c r="F165" s="61" t="str">
        <f t="shared" si="2"/>
        <v>借</v>
      </c>
      <c r="G165" s="64">
        <f>SUM(D$6:E165)</f>
        <v>156142</v>
      </c>
      <c r="H165" s="61"/>
      <c r="I165" s="61" t="s">
        <v>3435</v>
      </c>
      <c r="J165" s="61" t="s">
        <v>114</v>
      </c>
      <c r="K165" s="64">
        <v>6036</v>
      </c>
      <c r="L165" s="61"/>
      <c r="M165" s="65" t="s">
        <v>1691</v>
      </c>
      <c r="N165" s="61"/>
      <c r="O165" s="61"/>
      <c r="P165" s="61"/>
      <c r="Q165" s="61"/>
      <c r="R165" s="61">
        <v>542805</v>
      </c>
      <c r="S165" s="66" t="s">
        <v>43</v>
      </c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 s="61" t="s">
        <v>243</v>
      </c>
      <c r="B166" s="62">
        <v>46106</v>
      </c>
      <c r="C166" s="63" t="s">
        <v>3436</v>
      </c>
      <c r="D166" s="67">
        <v>76556</v>
      </c>
      <c r="E166" s="67"/>
      <c r="F166" s="61" t="str">
        <f t="shared" si="2"/>
        <v>借</v>
      </c>
      <c r="G166" s="64">
        <f>SUM(D$6:E166)</f>
        <v>232698</v>
      </c>
      <c r="H166" s="61" t="s">
        <v>241</v>
      </c>
      <c r="I166" s="61" t="s">
        <v>3437</v>
      </c>
      <c r="J166" s="61" t="s">
        <v>114</v>
      </c>
      <c r="K166" s="64">
        <v>76556</v>
      </c>
      <c r="L166" s="61"/>
      <c r="M166" s="65" t="s">
        <v>406</v>
      </c>
      <c r="N166" s="61"/>
      <c r="O166" s="61"/>
      <c r="P166" s="61"/>
      <c r="Q166" s="61"/>
      <c r="R166" s="61">
        <v>542873</v>
      </c>
      <c r="S166" s="66" t="s">
        <v>63</v>
      </c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 s="61" t="s">
        <v>243</v>
      </c>
      <c r="B167" s="62">
        <v>46114</v>
      </c>
      <c r="C167" s="63" t="s">
        <v>3438</v>
      </c>
      <c r="D167" s="67"/>
      <c r="E167" s="67">
        <v>-51040</v>
      </c>
      <c r="F167" s="61" t="str">
        <f t="shared" si="2"/>
        <v>借</v>
      </c>
      <c r="G167" s="64">
        <f>SUM(D$6:E167)</f>
        <v>181658</v>
      </c>
      <c r="H167" s="61"/>
      <c r="I167" s="61" t="s">
        <v>3439</v>
      </c>
      <c r="J167" s="61" t="s">
        <v>114</v>
      </c>
      <c r="K167" s="64">
        <v>-51040</v>
      </c>
      <c r="L167" s="61"/>
      <c r="M167" s="65" t="s">
        <v>224</v>
      </c>
      <c r="N167" s="61"/>
      <c r="O167" s="61"/>
      <c r="P167" s="61"/>
      <c r="Q167" s="61"/>
      <c r="R167" s="61">
        <v>547550</v>
      </c>
      <c r="S167" s="66" t="s">
        <v>276</v>
      </c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 s="61" t="s">
        <v>243</v>
      </c>
      <c r="B168" s="62">
        <v>46114</v>
      </c>
      <c r="C168" s="63" t="s">
        <v>3440</v>
      </c>
      <c r="D168" s="67">
        <v>274390</v>
      </c>
      <c r="E168" s="67"/>
      <c r="F168" s="61" t="str">
        <f t="shared" si="2"/>
        <v>借</v>
      </c>
      <c r="G168" s="64">
        <f>SUM(D$6:E168)</f>
        <v>456048</v>
      </c>
      <c r="H168" s="61"/>
      <c r="I168" s="61" t="s">
        <v>3441</v>
      </c>
      <c r="J168" s="61" t="s">
        <v>114</v>
      </c>
      <c r="K168" s="64">
        <v>274390</v>
      </c>
      <c r="L168" s="61"/>
      <c r="M168" s="65" t="s">
        <v>224</v>
      </c>
      <c r="N168" s="61"/>
      <c r="O168" s="61"/>
      <c r="P168" s="61"/>
      <c r="Q168" s="61"/>
      <c r="R168" s="61">
        <v>548219</v>
      </c>
      <c r="S168" s="66" t="s">
        <v>41</v>
      </c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 s="61" t="s">
        <v>243</v>
      </c>
      <c r="B169" s="62">
        <v>46119</v>
      </c>
      <c r="C169" s="63" t="s">
        <v>3442</v>
      </c>
      <c r="D169" s="67"/>
      <c r="E169" s="67">
        <v>-274390</v>
      </c>
      <c r="F169" s="61" t="str">
        <f t="shared" si="2"/>
        <v>借</v>
      </c>
      <c r="G169" s="64">
        <f>SUM(D$6:E169)</f>
        <v>181658</v>
      </c>
      <c r="H169" s="61"/>
      <c r="I169" s="61" t="s">
        <v>3443</v>
      </c>
      <c r="J169" s="61" t="s">
        <v>114</v>
      </c>
      <c r="K169" s="64">
        <v>-274390</v>
      </c>
      <c r="L169" s="61"/>
      <c r="M169" s="65" t="s">
        <v>224</v>
      </c>
      <c r="N169" s="61"/>
      <c r="O169" s="61"/>
      <c r="P169" s="61"/>
      <c r="Q169" s="61"/>
      <c r="R169" s="61">
        <v>548245</v>
      </c>
      <c r="S169" s="66" t="s">
        <v>41</v>
      </c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 s="61" t="s">
        <v>243</v>
      </c>
      <c r="B170" s="62">
        <v>46121</v>
      </c>
      <c r="C170" s="63" t="s">
        <v>3444</v>
      </c>
      <c r="D170" s="67"/>
      <c r="E170" s="67">
        <v>-76</v>
      </c>
      <c r="F170" s="61" t="str">
        <f t="shared" si="2"/>
        <v>借</v>
      </c>
      <c r="G170" s="64">
        <f>SUM(D$6:E170)</f>
        <v>181582</v>
      </c>
      <c r="H170" s="61"/>
      <c r="I170" s="61" t="s">
        <v>3445</v>
      </c>
      <c r="J170" s="61" t="s">
        <v>114</v>
      </c>
      <c r="K170" s="64">
        <v>-76</v>
      </c>
      <c r="L170" s="61"/>
      <c r="M170" s="65" t="s">
        <v>1662</v>
      </c>
      <c r="N170" s="61"/>
      <c r="O170" s="61"/>
      <c r="P170" s="61"/>
      <c r="Q170" s="61"/>
      <c r="R170" s="61">
        <v>548779</v>
      </c>
      <c r="S170" s="66" t="s">
        <v>843</v>
      </c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 s="61" t="s">
        <v>243</v>
      </c>
      <c r="B171" s="62">
        <v>46122</v>
      </c>
      <c r="C171" s="63" t="s">
        <v>3446</v>
      </c>
      <c r="D171" s="67"/>
      <c r="E171" s="67">
        <v>-972</v>
      </c>
      <c r="F171" s="61" t="str">
        <f t="shared" si="2"/>
        <v>借</v>
      </c>
      <c r="G171" s="64">
        <f>SUM(D$6:E171)</f>
        <v>180610</v>
      </c>
      <c r="H171" s="61"/>
      <c r="I171" s="61" t="s">
        <v>3447</v>
      </c>
      <c r="J171" s="61" t="s">
        <v>114</v>
      </c>
      <c r="K171" s="64">
        <v>-972</v>
      </c>
      <c r="L171" s="61"/>
      <c r="M171" s="65" t="s">
        <v>264</v>
      </c>
      <c r="N171" s="61"/>
      <c r="O171" s="61"/>
      <c r="P171" s="61"/>
      <c r="Q171" s="61"/>
      <c r="R171" s="61">
        <v>548780</v>
      </c>
      <c r="S171" s="66" t="s">
        <v>843</v>
      </c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 s="61" t="s">
        <v>243</v>
      </c>
      <c r="B172" s="62">
        <v>46122</v>
      </c>
      <c r="C172" s="63" t="s">
        <v>3448</v>
      </c>
      <c r="D172" s="67"/>
      <c r="E172" s="67">
        <v>-832</v>
      </c>
      <c r="F172" s="61" t="str">
        <f t="shared" si="2"/>
        <v>借</v>
      </c>
      <c r="G172" s="64">
        <f>SUM(D$6:E172)</f>
        <v>179778</v>
      </c>
      <c r="H172" s="61"/>
      <c r="I172" s="61" t="s">
        <v>3449</v>
      </c>
      <c r="J172" s="61" t="s">
        <v>114</v>
      </c>
      <c r="K172" s="64">
        <v>-832</v>
      </c>
      <c r="L172" s="61"/>
      <c r="M172" s="65" t="s">
        <v>1639</v>
      </c>
      <c r="N172" s="61"/>
      <c r="O172" s="61"/>
      <c r="P172" s="61"/>
      <c r="Q172" s="61"/>
      <c r="R172" s="61">
        <v>548780</v>
      </c>
      <c r="S172" s="66" t="s">
        <v>843</v>
      </c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 s="61" t="s">
        <v>243</v>
      </c>
      <c r="B173" s="62">
        <v>46122</v>
      </c>
      <c r="C173" s="63" t="s">
        <v>3450</v>
      </c>
      <c r="D173" s="67"/>
      <c r="E173" s="67">
        <v>-704</v>
      </c>
      <c r="F173" s="61" t="str">
        <f t="shared" si="2"/>
        <v>借</v>
      </c>
      <c r="G173" s="64">
        <f>SUM(D$6:E173)</f>
        <v>179074</v>
      </c>
      <c r="H173" s="61"/>
      <c r="I173" s="61" t="s">
        <v>3451</v>
      </c>
      <c r="J173" s="61" t="s">
        <v>114</v>
      </c>
      <c r="K173" s="64">
        <v>-704</v>
      </c>
      <c r="L173" s="61"/>
      <c r="M173" s="65" t="s">
        <v>1179</v>
      </c>
      <c r="N173" s="61"/>
      <c r="O173" s="61"/>
      <c r="P173" s="61"/>
      <c r="Q173" s="61"/>
      <c r="R173" s="61">
        <v>548780</v>
      </c>
      <c r="S173" s="66" t="s">
        <v>843</v>
      </c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 s="61" t="s">
        <v>243</v>
      </c>
      <c r="B174" s="62">
        <v>46122</v>
      </c>
      <c r="C174" s="63" t="s">
        <v>3452</v>
      </c>
      <c r="D174" s="67"/>
      <c r="E174" s="67">
        <v>-616</v>
      </c>
      <c r="F174" s="61" t="str">
        <f t="shared" si="2"/>
        <v>借</v>
      </c>
      <c r="G174" s="64">
        <f>SUM(D$6:E174)</f>
        <v>178458</v>
      </c>
      <c r="H174" s="61"/>
      <c r="I174" s="61" t="s">
        <v>3453</v>
      </c>
      <c r="J174" s="61" t="s">
        <v>114</v>
      </c>
      <c r="K174" s="64">
        <v>-616</v>
      </c>
      <c r="L174" s="61"/>
      <c r="M174" s="65" t="s">
        <v>368</v>
      </c>
      <c r="N174" s="61"/>
      <c r="O174" s="61"/>
      <c r="P174" s="61"/>
      <c r="Q174" s="61"/>
      <c r="R174" s="61">
        <v>548780</v>
      </c>
      <c r="S174" s="66" t="s">
        <v>843</v>
      </c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 s="61" t="s">
        <v>243</v>
      </c>
      <c r="B175" s="62">
        <v>46122</v>
      </c>
      <c r="C175" s="63" t="s">
        <v>3454</v>
      </c>
      <c r="D175" s="67"/>
      <c r="E175" s="67">
        <v>-532</v>
      </c>
      <c r="F175" s="61" t="str">
        <f t="shared" si="2"/>
        <v>借</v>
      </c>
      <c r="G175" s="64">
        <f>SUM(D$6:E175)</f>
        <v>177926</v>
      </c>
      <c r="H175" s="61"/>
      <c r="I175" s="61" t="s">
        <v>3455</v>
      </c>
      <c r="J175" s="61" t="s">
        <v>114</v>
      </c>
      <c r="K175" s="64">
        <v>-532</v>
      </c>
      <c r="L175" s="61"/>
      <c r="M175" s="65" t="s">
        <v>1096</v>
      </c>
      <c r="N175" s="61"/>
      <c r="O175" s="61"/>
      <c r="P175" s="61"/>
      <c r="Q175" s="61"/>
      <c r="R175" s="61">
        <v>548780</v>
      </c>
      <c r="S175" s="66" t="s">
        <v>843</v>
      </c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 s="61" t="s">
        <v>243</v>
      </c>
      <c r="B176" s="62">
        <v>46122</v>
      </c>
      <c r="C176" s="63" t="s">
        <v>3456</v>
      </c>
      <c r="D176" s="67"/>
      <c r="E176" s="67">
        <v>-460</v>
      </c>
      <c r="F176" s="61" t="str">
        <f t="shared" si="2"/>
        <v>借</v>
      </c>
      <c r="G176" s="64">
        <f>SUM(D$6:E176)</f>
        <v>177466</v>
      </c>
      <c r="H176" s="61"/>
      <c r="I176" s="61" t="s">
        <v>3457</v>
      </c>
      <c r="J176" s="61" t="s">
        <v>114</v>
      </c>
      <c r="K176" s="64">
        <v>-460</v>
      </c>
      <c r="L176" s="61"/>
      <c r="M176" s="65" t="s">
        <v>396</v>
      </c>
      <c r="N176" s="61"/>
      <c r="O176" s="61"/>
      <c r="P176" s="61"/>
      <c r="Q176" s="61"/>
      <c r="R176" s="61">
        <v>548780</v>
      </c>
      <c r="S176" s="66" t="s">
        <v>843</v>
      </c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 s="61" t="s">
        <v>243</v>
      </c>
      <c r="B177" s="62">
        <v>46122</v>
      </c>
      <c r="C177" s="63" t="s">
        <v>3458</v>
      </c>
      <c r="D177" s="67"/>
      <c r="E177" s="67">
        <v>-448</v>
      </c>
      <c r="F177" s="61" t="str">
        <f t="shared" si="2"/>
        <v>借</v>
      </c>
      <c r="G177" s="64">
        <f>SUM(D$6:E177)</f>
        <v>177018</v>
      </c>
      <c r="H177" s="61"/>
      <c r="I177" s="61" t="s">
        <v>3459</v>
      </c>
      <c r="J177" s="61" t="s">
        <v>114</v>
      </c>
      <c r="K177" s="64">
        <v>-448</v>
      </c>
      <c r="L177" s="61"/>
      <c r="M177" s="65" t="s">
        <v>275</v>
      </c>
      <c r="N177" s="61"/>
      <c r="O177" s="61"/>
      <c r="P177" s="61"/>
      <c r="Q177" s="61"/>
      <c r="R177" s="61">
        <v>548780</v>
      </c>
      <c r="S177" s="66" t="s">
        <v>843</v>
      </c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 s="61" t="s">
        <v>243</v>
      </c>
      <c r="B178" s="62">
        <v>46122</v>
      </c>
      <c r="C178" s="63" t="s">
        <v>3460</v>
      </c>
      <c r="D178" s="67"/>
      <c r="E178" s="67">
        <v>-164</v>
      </c>
      <c r="F178" s="61" t="str">
        <f t="shared" si="2"/>
        <v>借</v>
      </c>
      <c r="G178" s="64">
        <f>SUM(D$6:E178)</f>
        <v>176854</v>
      </c>
      <c r="H178" s="61"/>
      <c r="I178" s="61" t="s">
        <v>3461</v>
      </c>
      <c r="J178" s="61" t="s">
        <v>114</v>
      </c>
      <c r="K178" s="64">
        <v>-164</v>
      </c>
      <c r="L178" s="61"/>
      <c r="M178" s="65" t="s">
        <v>295</v>
      </c>
      <c r="N178" s="61"/>
      <c r="O178" s="61"/>
      <c r="P178" s="61"/>
      <c r="Q178" s="61"/>
      <c r="R178" s="61">
        <v>548780</v>
      </c>
      <c r="S178" s="66" t="s">
        <v>843</v>
      </c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 s="61" t="s">
        <v>243</v>
      </c>
      <c r="B179" s="62">
        <v>46122</v>
      </c>
      <c r="C179" s="63" t="s">
        <v>3462</v>
      </c>
      <c r="D179" s="67"/>
      <c r="E179" s="67">
        <v>-132</v>
      </c>
      <c r="F179" s="61" t="str">
        <f t="shared" si="2"/>
        <v>借</v>
      </c>
      <c r="G179" s="64">
        <f>SUM(D$6:E179)</f>
        <v>176722</v>
      </c>
      <c r="H179" s="61"/>
      <c r="I179" s="61" t="s">
        <v>3463</v>
      </c>
      <c r="J179" s="61" t="s">
        <v>114</v>
      </c>
      <c r="K179" s="64">
        <v>-132</v>
      </c>
      <c r="L179" s="61"/>
      <c r="M179" s="65" t="s">
        <v>1146</v>
      </c>
      <c r="N179" s="61"/>
      <c r="O179" s="61"/>
      <c r="P179" s="61"/>
      <c r="Q179" s="61"/>
      <c r="R179" s="61">
        <v>548780</v>
      </c>
      <c r="S179" s="66" t="s">
        <v>843</v>
      </c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 s="61" t="s">
        <v>243</v>
      </c>
      <c r="B180" s="62">
        <v>46122</v>
      </c>
      <c r="C180" s="63" t="s">
        <v>3464</v>
      </c>
      <c r="D180" s="67"/>
      <c r="E180" s="67">
        <v>-92</v>
      </c>
      <c r="F180" s="61" t="str">
        <f t="shared" si="2"/>
        <v>借</v>
      </c>
      <c r="G180" s="64">
        <f>SUM(D$6:E180)</f>
        <v>176630</v>
      </c>
      <c r="H180" s="61"/>
      <c r="I180" s="61" t="s">
        <v>3465</v>
      </c>
      <c r="J180" s="61" t="s">
        <v>114</v>
      </c>
      <c r="K180" s="64">
        <v>-92</v>
      </c>
      <c r="L180" s="61"/>
      <c r="M180" s="65" t="s">
        <v>383</v>
      </c>
      <c r="N180" s="61"/>
      <c r="O180" s="61"/>
      <c r="P180" s="61"/>
      <c r="Q180" s="61"/>
      <c r="R180" s="61">
        <v>548780</v>
      </c>
      <c r="S180" s="66" t="s">
        <v>843</v>
      </c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 s="61" t="s">
        <v>243</v>
      </c>
      <c r="B181" s="62">
        <v>46122</v>
      </c>
      <c r="C181" s="63" t="s">
        <v>3466</v>
      </c>
      <c r="D181" s="67"/>
      <c r="E181" s="67">
        <v>-80</v>
      </c>
      <c r="F181" s="61" t="str">
        <f t="shared" si="2"/>
        <v>借</v>
      </c>
      <c r="G181" s="64">
        <f>SUM(D$6:E181)</f>
        <v>176550</v>
      </c>
      <c r="H181" s="61"/>
      <c r="I181" s="61" t="s">
        <v>3467</v>
      </c>
      <c r="J181" s="61" t="s">
        <v>114</v>
      </c>
      <c r="K181" s="64">
        <v>-80</v>
      </c>
      <c r="L181" s="61"/>
      <c r="M181" s="65" t="s">
        <v>326</v>
      </c>
      <c r="N181" s="61"/>
      <c r="O181" s="61"/>
      <c r="P181" s="61"/>
      <c r="Q181" s="61"/>
      <c r="R181" s="61">
        <v>548780</v>
      </c>
      <c r="S181" s="66" t="s">
        <v>843</v>
      </c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 s="61" t="s">
        <v>243</v>
      </c>
      <c r="B182" s="62">
        <v>46122</v>
      </c>
      <c r="C182" s="63" t="s">
        <v>3468</v>
      </c>
      <c r="D182" s="67"/>
      <c r="E182" s="67">
        <v>-72</v>
      </c>
      <c r="F182" s="61" t="str">
        <f t="shared" si="2"/>
        <v>借</v>
      </c>
      <c r="G182" s="64">
        <f>SUM(D$6:E182)</f>
        <v>176478</v>
      </c>
      <c r="H182" s="61"/>
      <c r="I182" s="61" t="s">
        <v>3469</v>
      </c>
      <c r="J182" s="61" t="s">
        <v>114</v>
      </c>
      <c r="K182" s="64">
        <v>-72</v>
      </c>
      <c r="L182" s="61"/>
      <c r="M182" s="65" t="s">
        <v>1090</v>
      </c>
      <c r="N182" s="61"/>
      <c r="O182" s="61"/>
      <c r="P182" s="61"/>
      <c r="Q182" s="61"/>
      <c r="R182" s="61">
        <v>548780</v>
      </c>
      <c r="S182" s="66" t="s">
        <v>843</v>
      </c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 s="61" t="s">
        <v>243</v>
      </c>
      <c r="B183" s="62">
        <v>46122</v>
      </c>
      <c r="C183" s="63" t="s">
        <v>3470</v>
      </c>
      <c r="D183" s="67"/>
      <c r="E183" s="67">
        <v>-72</v>
      </c>
      <c r="F183" s="61" t="str">
        <f t="shared" si="2"/>
        <v>借</v>
      </c>
      <c r="G183" s="64">
        <f>SUM(D$6:E183)</f>
        <v>176406</v>
      </c>
      <c r="H183" s="61"/>
      <c r="I183" s="61" t="s">
        <v>3471</v>
      </c>
      <c r="J183" s="61" t="s">
        <v>114</v>
      </c>
      <c r="K183" s="64">
        <v>-72</v>
      </c>
      <c r="L183" s="61"/>
      <c r="M183" s="65" t="s">
        <v>1889</v>
      </c>
      <c r="N183" s="61"/>
      <c r="O183" s="61"/>
      <c r="P183" s="61"/>
      <c r="Q183" s="61"/>
      <c r="R183" s="61">
        <v>548780</v>
      </c>
      <c r="S183" s="66" t="s">
        <v>843</v>
      </c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 s="61" t="s">
        <v>243</v>
      </c>
      <c r="B184" s="62">
        <v>46122</v>
      </c>
      <c r="C184" s="63" t="s">
        <v>3472</v>
      </c>
      <c r="D184" s="67"/>
      <c r="E184" s="67">
        <v>-64</v>
      </c>
      <c r="F184" s="61" t="str">
        <f t="shared" si="2"/>
        <v>借</v>
      </c>
      <c r="G184" s="64">
        <f>SUM(D$6:E184)</f>
        <v>176342</v>
      </c>
      <c r="H184" s="61"/>
      <c r="I184" s="61" t="s">
        <v>3473</v>
      </c>
      <c r="J184" s="61" t="s">
        <v>114</v>
      </c>
      <c r="K184" s="64">
        <v>-64</v>
      </c>
      <c r="L184" s="61"/>
      <c r="M184" s="65" t="s">
        <v>1646</v>
      </c>
      <c r="N184" s="61"/>
      <c r="O184" s="61"/>
      <c r="P184" s="61"/>
      <c r="Q184" s="61"/>
      <c r="R184" s="61">
        <v>548780</v>
      </c>
      <c r="S184" s="66" t="s">
        <v>843</v>
      </c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 s="61" t="s">
        <v>243</v>
      </c>
      <c r="B185" s="62">
        <v>46125</v>
      </c>
      <c r="C185" s="63" t="s">
        <v>3474</v>
      </c>
      <c r="D185" s="67"/>
      <c r="E185" s="67">
        <v>-3995630</v>
      </c>
      <c r="F185" s="61" t="str">
        <f t="shared" si="2"/>
        <v>貸</v>
      </c>
      <c r="G185" s="64">
        <f>SUM(D$6:E185)</f>
        <v>-3819288</v>
      </c>
      <c r="H185" s="61"/>
      <c r="I185" s="61" t="s">
        <v>3475</v>
      </c>
      <c r="J185" s="61" t="s">
        <v>114</v>
      </c>
      <c r="K185" s="64">
        <v>-3995630</v>
      </c>
      <c r="L185" s="61"/>
      <c r="M185" s="65" t="s">
        <v>224</v>
      </c>
      <c r="N185" s="61"/>
      <c r="O185" s="61"/>
      <c r="P185" s="61"/>
      <c r="Q185" s="61"/>
      <c r="R185" s="61">
        <v>548722</v>
      </c>
      <c r="S185" s="66" t="s">
        <v>276</v>
      </c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 s="61" t="s">
        <v>243</v>
      </c>
      <c r="B186" s="62">
        <v>46125</v>
      </c>
      <c r="C186" s="63" t="s">
        <v>3476</v>
      </c>
      <c r="D186" s="67"/>
      <c r="E186" s="67">
        <v>-6036</v>
      </c>
      <c r="F186" s="61" t="str">
        <f t="shared" si="2"/>
        <v>貸</v>
      </c>
      <c r="G186" s="64">
        <f>SUM(D$6:E186)</f>
        <v>-3825324</v>
      </c>
      <c r="H186" s="61"/>
      <c r="I186" s="61" t="s">
        <v>3477</v>
      </c>
      <c r="J186" s="61" t="s">
        <v>114</v>
      </c>
      <c r="K186" s="64">
        <v>-6036</v>
      </c>
      <c r="L186" s="61"/>
      <c r="M186" s="65" t="s">
        <v>1691</v>
      </c>
      <c r="N186" s="61"/>
      <c r="O186" s="61"/>
      <c r="P186" s="61"/>
      <c r="Q186" s="61"/>
      <c r="R186" s="61">
        <v>548781</v>
      </c>
      <c r="S186" s="66" t="s">
        <v>843</v>
      </c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 s="61" t="s">
        <v>243</v>
      </c>
      <c r="B187" s="62">
        <v>46125</v>
      </c>
      <c r="C187" s="63" t="s">
        <v>3478</v>
      </c>
      <c r="D187" s="67"/>
      <c r="E187" s="67">
        <v>-176</v>
      </c>
      <c r="F187" s="61" t="str">
        <f t="shared" si="2"/>
        <v>貸</v>
      </c>
      <c r="G187" s="64">
        <f>SUM(D$6:E187)</f>
        <v>-3825500</v>
      </c>
      <c r="H187" s="61"/>
      <c r="I187" s="61" t="s">
        <v>3479</v>
      </c>
      <c r="J187" s="61" t="s">
        <v>114</v>
      </c>
      <c r="K187" s="64">
        <v>-176</v>
      </c>
      <c r="L187" s="61"/>
      <c r="M187" s="65" t="s">
        <v>1644</v>
      </c>
      <c r="N187" s="61"/>
      <c r="O187" s="61"/>
      <c r="P187" s="61"/>
      <c r="Q187" s="61"/>
      <c r="R187" s="61">
        <v>548781</v>
      </c>
      <c r="S187" s="66" t="s">
        <v>843</v>
      </c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 s="61" t="s">
        <v>243</v>
      </c>
      <c r="B188" s="62">
        <v>46125</v>
      </c>
      <c r="C188" s="63" t="s">
        <v>3480</v>
      </c>
      <c r="D188" s="67">
        <v>2</v>
      </c>
      <c r="E188" s="67"/>
      <c r="F188" s="61" t="str">
        <f t="shared" si="2"/>
        <v>貸</v>
      </c>
      <c r="G188" s="64">
        <f>SUM(D$6:E188)</f>
        <v>-3825498</v>
      </c>
      <c r="H188" s="61"/>
      <c r="I188" s="61" t="s">
        <v>256</v>
      </c>
      <c r="J188" s="61" t="s">
        <v>114</v>
      </c>
      <c r="K188" s="64">
        <v>2</v>
      </c>
      <c r="L188" s="61"/>
      <c r="M188" s="65" t="s">
        <v>224</v>
      </c>
      <c r="N188" s="61"/>
      <c r="O188" s="61"/>
      <c r="P188" s="61"/>
      <c r="Q188" s="61"/>
      <c r="R188" s="61">
        <v>548657</v>
      </c>
      <c r="S188" s="66" t="s">
        <v>237</v>
      </c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 s="61" t="s">
        <v>243</v>
      </c>
      <c r="B189" s="62">
        <v>46125</v>
      </c>
      <c r="C189" s="63" t="s">
        <v>3481</v>
      </c>
      <c r="D189" s="67">
        <v>96</v>
      </c>
      <c r="E189" s="67"/>
      <c r="F189" s="61" t="str">
        <f t="shared" si="2"/>
        <v>貸</v>
      </c>
      <c r="G189" s="64">
        <f>SUM(D$6:E189)</f>
        <v>-3825402</v>
      </c>
      <c r="H189" s="61"/>
      <c r="I189" s="61" t="s">
        <v>256</v>
      </c>
      <c r="J189" s="61" t="s">
        <v>114</v>
      </c>
      <c r="K189" s="64">
        <v>96</v>
      </c>
      <c r="L189" s="61"/>
      <c r="M189" s="65" t="s">
        <v>224</v>
      </c>
      <c r="N189" s="61"/>
      <c r="O189" s="61"/>
      <c r="P189" s="61"/>
      <c r="Q189" s="61"/>
      <c r="R189" s="61">
        <v>548657</v>
      </c>
      <c r="S189" s="66" t="s">
        <v>237</v>
      </c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 s="61" t="s">
        <v>243</v>
      </c>
      <c r="B190" s="62">
        <v>46125</v>
      </c>
      <c r="C190" s="63" t="s">
        <v>3482</v>
      </c>
      <c r="D190" s="67">
        <v>102</v>
      </c>
      <c r="E190" s="67"/>
      <c r="F190" s="61" t="str">
        <f t="shared" si="2"/>
        <v>貸</v>
      </c>
      <c r="G190" s="64">
        <f>SUM(D$6:E190)</f>
        <v>-3825300</v>
      </c>
      <c r="H190" s="61"/>
      <c r="I190" s="61" t="s">
        <v>256</v>
      </c>
      <c r="J190" s="61" t="s">
        <v>114</v>
      </c>
      <c r="K190" s="64">
        <v>102</v>
      </c>
      <c r="L190" s="61"/>
      <c r="M190" s="65" t="s">
        <v>224</v>
      </c>
      <c r="N190" s="61"/>
      <c r="O190" s="61"/>
      <c r="P190" s="61"/>
      <c r="Q190" s="61"/>
      <c r="R190" s="61">
        <v>548657</v>
      </c>
      <c r="S190" s="66" t="s">
        <v>237</v>
      </c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 s="61" t="s">
        <v>243</v>
      </c>
      <c r="B191" s="62">
        <v>46125</v>
      </c>
      <c r="C191" s="63" t="s">
        <v>3483</v>
      </c>
      <c r="D191" s="67">
        <v>2547</v>
      </c>
      <c r="E191" s="67"/>
      <c r="F191" s="61" t="str">
        <f t="shared" si="2"/>
        <v>貸</v>
      </c>
      <c r="G191" s="64">
        <f>SUM(D$6:E191)</f>
        <v>-3822753</v>
      </c>
      <c r="H191" s="61"/>
      <c r="I191" s="61" t="s">
        <v>256</v>
      </c>
      <c r="J191" s="61" t="s">
        <v>114</v>
      </c>
      <c r="K191" s="64">
        <v>2547</v>
      </c>
      <c r="L191" s="61"/>
      <c r="M191" s="65" t="s">
        <v>224</v>
      </c>
      <c r="N191" s="61"/>
      <c r="O191" s="61"/>
      <c r="P191" s="61"/>
      <c r="Q191" s="61"/>
      <c r="R191" s="61">
        <v>548657</v>
      </c>
      <c r="S191" s="66" t="s">
        <v>237</v>
      </c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 s="61" t="s">
        <v>243</v>
      </c>
      <c r="B192" s="62">
        <v>46127</v>
      </c>
      <c r="C192" s="63" t="s">
        <v>3484</v>
      </c>
      <c r="D192" s="67">
        <v>183000</v>
      </c>
      <c r="E192" s="67"/>
      <c r="F192" s="61" t="str">
        <f t="shared" si="2"/>
        <v>貸</v>
      </c>
      <c r="G192" s="64">
        <f>SUM(D$6:E192)</f>
        <v>-3639753</v>
      </c>
      <c r="H192" s="61"/>
      <c r="I192" s="61" t="s">
        <v>3485</v>
      </c>
      <c r="J192" s="61" t="s">
        <v>114</v>
      </c>
      <c r="K192" s="64">
        <v>183000</v>
      </c>
      <c r="L192" s="61"/>
      <c r="M192" s="65" t="s">
        <v>1546</v>
      </c>
      <c r="N192" s="61"/>
      <c r="O192" s="61"/>
      <c r="P192" s="61"/>
      <c r="Q192" s="61"/>
      <c r="R192" s="61">
        <v>547468</v>
      </c>
      <c r="S192" s="66" t="s">
        <v>825</v>
      </c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 s="61" t="s">
        <v>243</v>
      </c>
      <c r="B193" s="62">
        <v>46127</v>
      </c>
      <c r="C193" s="63" t="s">
        <v>3486</v>
      </c>
      <c r="D193" s="67">
        <v>260460</v>
      </c>
      <c r="E193" s="67"/>
      <c r="F193" s="61" t="str">
        <f t="shared" si="2"/>
        <v>貸</v>
      </c>
      <c r="G193" s="64">
        <f>SUM(D$6:E193)</f>
        <v>-3379293</v>
      </c>
      <c r="H193" s="61" t="s">
        <v>308</v>
      </c>
      <c r="I193" s="61" t="s">
        <v>3487</v>
      </c>
      <c r="J193" s="61" t="s">
        <v>114</v>
      </c>
      <c r="K193" s="64">
        <v>260460</v>
      </c>
      <c r="L193" s="61"/>
      <c r="M193" s="65" t="s">
        <v>224</v>
      </c>
      <c r="N193" s="61"/>
      <c r="O193" s="61"/>
      <c r="P193" s="61"/>
      <c r="Q193" s="61"/>
      <c r="R193" s="61">
        <v>547417</v>
      </c>
      <c r="S193" s="66" t="s">
        <v>825</v>
      </c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 s="61" t="s">
        <v>243</v>
      </c>
      <c r="B194" s="62">
        <v>46139</v>
      </c>
      <c r="C194" s="63" t="s">
        <v>3488</v>
      </c>
      <c r="D194" s="67">
        <v>28702</v>
      </c>
      <c r="E194" s="67"/>
      <c r="F194" s="61" t="str">
        <f t="shared" si="2"/>
        <v>貸</v>
      </c>
      <c r="G194" s="64">
        <f>SUM(D$6:E194)</f>
        <v>-3350591</v>
      </c>
      <c r="H194" s="61" t="s">
        <v>241</v>
      </c>
      <c r="I194" s="61" t="s">
        <v>3489</v>
      </c>
      <c r="J194" s="61" t="s">
        <v>114</v>
      </c>
      <c r="K194" s="64">
        <v>28702</v>
      </c>
      <c r="L194" s="61"/>
      <c r="M194" s="65" t="s">
        <v>3490</v>
      </c>
      <c r="N194" s="61"/>
      <c r="O194" s="61"/>
      <c r="P194" s="61"/>
      <c r="Q194" s="61"/>
      <c r="R194" s="61">
        <v>544972</v>
      </c>
      <c r="S194" s="66" t="s">
        <v>63</v>
      </c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 ht="17.25" thickBot="1">
      <c r="A195" s="52"/>
      <c r="B195" s="52" t="s">
        <v>115</v>
      </c>
      <c r="C195" s="52"/>
      <c r="D195" s="53">
        <f>SUBTOTAL(9,D7:D194)</f>
        <v>981997</v>
      </c>
      <c r="E195" s="53">
        <f>SUBTOTAL(9,E7:E194)</f>
        <v>-4332588</v>
      </c>
      <c r="F195" s="52" t="str">
        <f t="shared" si="2"/>
        <v>貸</v>
      </c>
      <c r="G195" s="54">
        <f>G194</f>
        <v>-3350591</v>
      </c>
      <c r="H195" s="52"/>
      <c r="I195" s="55"/>
      <c r="J195" s="55"/>
      <c r="K195" s="54">
        <f>SUBTOTAL(9,K7:K194)</f>
        <v>-3350591</v>
      </c>
      <c r="L195" s="52"/>
      <c r="M195" s="52" t="s">
        <v>117</v>
      </c>
      <c r="N195" s="52" t="str">
        <f>IF(O195&gt;0,"借","貸")</f>
        <v>貸</v>
      </c>
      <c r="O195" s="56">
        <v>-3350591</v>
      </c>
      <c r="P195" s="52" t="s">
        <v>118</v>
      </c>
      <c r="Q195" s="56">
        <f>O195-G195</f>
        <v>0</v>
      </c>
      <c r="R195" s="52"/>
      <c r="S195" s="5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26:44"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26:44"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26:44"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26:44"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26:44"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26:44"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26:44"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26:44"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26:44"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26:44"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26:44"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26:44"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26:44"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26:44"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26:44"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26:44"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26:44"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26:44"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26:44"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26:44"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26:44"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26:44"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26:44"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26:44"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26:44"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26:44"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26:44"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26:44"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26:44"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26:44"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26:44"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26:44"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26:44"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26:44"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26:44"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26:44"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26:44"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26:44"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26:44"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26:44"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26:44"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26:44"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26:44"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26:44"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26:44"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26:44"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26:44"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26:44"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26:44"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26:44"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26:44"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26:44"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26:44"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26:44"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26:44"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26:44"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26:44"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26:44"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26:44"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26:44"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26:44"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26:44"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26:44"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26:44"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26:44"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26:44"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26:44"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26:44"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26:44"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26:44"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26:44"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26:44"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26:44"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26:44"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26:44"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26:44"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26:44"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26:44"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26:44"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26:44"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26:44"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26:44"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26:44"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26:44"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26:44"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26:44"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26:44"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26:44"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26:44"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26:44"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26:44"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26:44"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26:44"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26:44"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26:44"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26:44"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26:44"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26:44"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26:44"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26:44"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26:44"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26:44"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26:44"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26:44"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26:44"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26:44"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26:44"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26:44"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26:44"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26:44"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26:44"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26:44"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26:44"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26:44"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26:44"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26:44"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26:44"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26:44"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26:44"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26:44"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26:44"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26:44"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26:44"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26:44"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26:44"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26:44"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26:44"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26:44"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26:44"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26:44"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26:44"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26:44"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26:44"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26:44"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26:44"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26:44"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26:44"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26:44"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26:44"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26:44"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26:44"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26:44"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26:44"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26:44"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26:44"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26:44"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26:44"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26:44"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26:44"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</sheetData>
  <autoFilter ref="A5:AR886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854818A5-DA1B-4010-90DD-01F3D7352BE9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6C4EA734-BEBC-4E55-A0A7-3B5BA4E289A3}">
      <formula1>0</formula1>
      <formula2>300</formula2>
    </dataValidation>
    <dataValidation type="textLength" errorStyle="information" allowBlank="1" showInputMessage="1" showErrorMessage="1" error="XLBVal:8=_x000d__x000a_XLBRowCount:8=190_x000d__x000a_XLBColCount:8=19_x000d__x000a_" sqref="A6" xr:uid="{20178369-163D-4533-A2E0-818FB89B347F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D3D53-4E8A-4A77-B5AB-FFB1CDEEA6B6}">
  <sheetPr codeName="工作表15">
    <pageSetUpPr fitToPage="1"/>
  </sheetPr>
  <dimension ref="A1:AR356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3.625" style="5" hidden="1" customWidth="1" outlineLevel="1"/>
    <col min="2" max="2" width="11.125" style="5" bestFit="1" customWidth="1" collapsed="1"/>
    <col min="3" max="3" width="21.75" style="5" bestFit="1" customWidth="1"/>
    <col min="4" max="4" width="14.375" style="6" bestFit="1" customWidth="1"/>
    <col min="5" max="5" width="13.5" style="6" bestFit="1" customWidth="1"/>
    <col min="6" max="6" width="3.75" style="5" bestFit="1" customWidth="1"/>
    <col min="7" max="7" width="17" style="7" bestFit="1" customWidth="1"/>
    <col min="8" max="8" width="5.875" style="5" bestFit="1" customWidth="1"/>
    <col min="9" max="9" width="59.875" style="8" bestFit="1" customWidth="1"/>
    <col min="10" max="10" width="5.75" style="8" bestFit="1" customWidth="1"/>
    <col min="11" max="11" width="14.375" style="9" bestFit="1" customWidth="1"/>
    <col min="12" max="12" width="12.75" style="5" bestFit="1" customWidth="1"/>
    <col min="13" max="13" width="11.8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398</v>
      </c>
      <c r="D4" s="2" t="s">
        <v>402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31441798.000",TargetCell,M_BU,$C4,$C4,M_PRD_FROM,M_PRD_TO,M_DATE,M_T1,M_T1,M_T2,M_T2,M_T3,M_T3,M_T4,M_T4,M_T5,M_T5,M_T6,M_T6,M_T8,M_T8)</f>
        <v>31441798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403</v>
      </c>
      <c r="B7" s="62">
        <v>41404</v>
      </c>
      <c r="C7" s="63" t="s">
        <v>404</v>
      </c>
      <c r="D7" s="67">
        <v>1288232</v>
      </c>
      <c r="E7" s="67"/>
      <c r="F7" s="61" t="str">
        <f t="shared" ref="F7:F69" si="0">IF(G7&gt;0,"借","貸")</f>
        <v>借</v>
      </c>
      <c r="G7" s="64">
        <f>SUM(D$6:E7)</f>
        <v>1288232</v>
      </c>
      <c r="H7" s="61"/>
      <c r="I7" s="61" t="s">
        <v>405</v>
      </c>
      <c r="J7" s="61" t="s">
        <v>114</v>
      </c>
      <c r="K7" s="64">
        <v>1288232</v>
      </c>
      <c r="L7" s="61"/>
      <c r="M7" s="65" t="s">
        <v>406</v>
      </c>
      <c r="N7" s="61"/>
      <c r="O7" s="61"/>
      <c r="P7" s="61"/>
      <c r="Q7" s="61"/>
      <c r="R7" s="61">
        <v>6</v>
      </c>
      <c r="S7" s="66" t="s">
        <v>407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403</v>
      </c>
      <c r="B8" s="62">
        <v>43098</v>
      </c>
      <c r="C8" s="63" t="s">
        <v>408</v>
      </c>
      <c r="D8" s="67">
        <v>1996294</v>
      </c>
      <c r="E8" s="67"/>
      <c r="F8" s="61" t="str">
        <f t="shared" si="0"/>
        <v>借</v>
      </c>
      <c r="G8" s="64">
        <f>SUM(D$6:E8)</f>
        <v>3284526</v>
      </c>
      <c r="H8" s="61"/>
      <c r="I8" s="61" t="s">
        <v>409</v>
      </c>
      <c r="J8" s="61" t="s">
        <v>114</v>
      </c>
      <c r="K8" s="64">
        <v>1996294</v>
      </c>
      <c r="L8" s="61"/>
      <c r="M8" s="65" t="s">
        <v>406</v>
      </c>
      <c r="N8" s="61"/>
      <c r="O8" s="61"/>
      <c r="P8" s="61"/>
      <c r="Q8" s="61"/>
      <c r="R8" s="61">
        <v>58927</v>
      </c>
      <c r="S8" s="66" t="s">
        <v>55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403</v>
      </c>
      <c r="B9" s="62">
        <v>44074</v>
      </c>
      <c r="C9" s="63" t="s">
        <v>410</v>
      </c>
      <c r="D9" s="67">
        <v>4282432</v>
      </c>
      <c r="E9" s="67"/>
      <c r="F9" s="61" t="str">
        <f t="shared" si="0"/>
        <v>借</v>
      </c>
      <c r="G9" s="64">
        <f>SUM(D$6:E9)</f>
        <v>7566958</v>
      </c>
      <c r="H9" s="61"/>
      <c r="I9" s="61" t="s">
        <v>411</v>
      </c>
      <c r="J9" s="61" t="s">
        <v>114</v>
      </c>
      <c r="K9" s="64">
        <v>4282432</v>
      </c>
      <c r="L9" s="61"/>
      <c r="M9" s="65" t="s">
        <v>406</v>
      </c>
      <c r="N9" s="61"/>
      <c r="O9" s="61"/>
      <c r="P9" s="61"/>
      <c r="Q9" s="61"/>
      <c r="R9" s="61">
        <v>184650</v>
      </c>
      <c r="S9" s="66" t="s">
        <v>63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403</v>
      </c>
      <c r="B10" s="62">
        <v>44134</v>
      </c>
      <c r="C10" s="63" t="s">
        <v>412</v>
      </c>
      <c r="D10" s="67">
        <v>485800</v>
      </c>
      <c r="E10" s="67"/>
      <c r="F10" s="61" t="str">
        <f t="shared" si="0"/>
        <v>借</v>
      </c>
      <c r="G10" s="64">
        <f>SUM(D$6:E10)</f>
        <v>8052758</v>
      </c>
      <c r="H10" s="61"/>
      <c r="I10" s="61" t="s">
        <v>413</v>
      </c>
      <c r="J10" s="61" t="s">
        <v>114</v>
      </c>
      <c r="K10" s="64">
        <v>485800</v>
      </c>
      <c r="L10" s="61"/>
      <c r="M10" s="65" t="s">
        <v>414</v>
      </c>
      <c r="N10" s="61"/>
      <c r="O10" s="61"/>
      <c r="P10" s="61"/>
      <c r="Q10" s="61"/>
      <c r="R10" s="61">
        <v>193855</v>
      </c>
      <c r="S10" s="66" t="s">
        <v>63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403</v>
      </c>
      <c r="B11" s="62">
        <v>44386</v>
      </c>
      <c r="C11" s="63" t="s">
        <v>417</v>
      </c>
      <c r="D11" s="67">
        <v>102605</v>
      </c>
      <c r="E11" s="67"/>
      <c r="F11" s="61" t="str">
        <f t="shared" si="0"/>
        <v>借</v>
      </c>
      <c r="G11" s="64">
        <f>SUM(D$6:E11)</f>
        <v>8155363</v>
      </c>
      <c r="H11" s="61"/>
      <c r="I11" s="61" t="s">
        <v>416</v>
      </c>
      <c r="J11" s="61" t="s">
        <v>114</v>
      </c>
      <c r="K11" s="64">
        <v>102605</v>
      </c>
      <c r="L11" s="61"/>
      <c r="M11" s="65" t="s">
        <v>239</v>
      </c>
      <c r="N11" s="61"/>
      <c r="O11" s="61"/>
      <c r="P11" s="61"/>
      <c r="Q11" s="61"/>
      <c r="R11" s="61">
        <v>232316</v>
      </c>
      <c r="S11" s="66" t="s">
        <v>63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403</v>
      </c>
      <c r="B12" s="62">
        <v>44386</v>
      </c>
      <c r="C12" s="63" t="s">
        <v>415</v>
      </c>
      <c r="D12" s="67">
        <v>2643342</v>
      </c>
      <c r="E12" s="67"/>
      <c r="F12" s="61" t="str">
        <f t="shared" si="0"/>
        <v>借</v>
      </c>
      <c r="G12" s="64">
        <f>SUM(D$6:E12)</f>
        <v>10798705</v>
      </c>
      <c r="H12" s="61"/>
      <c r="I12" s="61" t="s">
        <v>416</v>
      </c>
      <c r="J12" s="61" t="s">
        <v>114</v>
      </c>
      <c r="K12" s="64">
        <v>2643342</v>
      </c>
      <c r="L12" s="61"/>
      <c r="M12" s="65" t="s">
        <v>239</v>
      </c>
      <c r="N12" s="61"/>
      <c r="O12" s="61"/>
      <c r="P12" s="61"/>
      <c r="Q12" s="61"/>
      <c r="R12" s="61">
        <v>232316</v>
      </c>
      <c r="S12" s="66" t="s">
        <v>63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403</v>
      </c>
      <c r="B13" s="62">
        <v>44833</v>
      </c>
      <c r="C13" s="63" t="s">
        <v>418</v>
      </c>
      <c r="D13" s="67">
        <v>300000</v>
      </c>
      <c r="E13" s="67"/>
      <c r="F13" s="61" t="str">
        <f t="shared" si="0"/>
        <v>借</v>
      </c>
      <c r="G13" s="64">
        <f>SUM(D$6:E13)</f>
        <v>11098705</v>
      </c>
      <c r="H13" s="61"/>
      <c r="I13" s="61" t="s">
        <v>419</v>
      </c>
      <c r="J13" s="61" t="s">
        <v>114</v>
      </c>
      <c r="K13" s="64">
        <v>300000</v>
      </c>
      <c r="L13" s="61"/>
      <c r="M13" s="65" t="s">
        <v>420</v>
      </c>
      <c r="N13" s="61"/>
      <c r="O13" s="61"/>
      <c r="P13" s="61"/>
      <c r="Q13" s="61"/>
      <c r="R13" s="61">
        <v>300900</v>
      </c>
      <c r="S13" s="66" t="s">
        <v>63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403</v>
      </c>
      <c r="B14" s="62">
        <v>45024</v>
      </c>
      <c r="C14" s="63" t="s">
        <v>424</v>
      </c>
      <c r="D14" s="67">
        <v>507000</v>
      </c>
      <c r="E14" s="67"/>
      <c r="F14" s="61" t="str">
        <f t="shared" si="0"/>
        <v>借</v>
      </c>
      <c r="G14" s="64">
        <f>SUM(D$6:E14)</f>
        <v>11605705</v>
      </c>
      <c r="H14" s="61"/>
      <c r="I14" s="61" t="s">
        <v>425</v>
      </c>
      <c r="J14" s="61" t="s">
        <v>114</v>
      </c>
      <c r="K14" s="64">
        <v>507000</v>
      </c>
      <c r="L14" s="61"/>
      <c r="M14" s="65" t="s">
        <v>224</v>
      </c>
      <c r="N14" s="61"/>
      <c r="O14" s="61"/>
      <c r="P14" s="61"/>
      <c r="Q14" s="61"/>
      <c r="R14" s="61">
        <v>330618</v>
      </c>
      <c r="S14" s="66" t="s">
        <v>421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403</v>
      </c>
      <c r="B15" s="62">
        <v>45024</v>
      </c>
      <c r="C15" s="63" t="s">
        <v>422</v>
      </c>
      <c r="D15" s="67">
        <v>1000000</v>
      </c>
      <c r="E15" s="67"/>
      <c r="F15" s="61" t="str">
        <f t="shared" si="0"/>
        <v>借</v>
      </c>
      <c r="G15" s="64">
        <f>SUM(D$6:E15)</f>
        <v>12605705</v>
      </c>
      <c r="H15" s="61"/>
      <c r="I15" s="61" t="s">
        <v>423</v>
      </c>
      <c r="J15" s="61" t="s">
        <v>114</v>
      </c>
      <c r="K15" s="64">
        <v>1000000</v>
      </c>
      <c r="L15" s="61"/>
      <c r="M15" s="65" t="s">
        <v>224</v>
      </c>
      <c r="N15" s="61"/>
      <c r="O15" s="61"/>
      <c r="P15" s="61"/>
      <c r="Q15" s="61"/>
      <c r="R15" s="61">
        <v>330618</v>
      </c>
      <c r="S15" s="66" t="s">
        <v>421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403</v>
      </c>
      <c r="B16" s="62">
        <v>45083</v>
      </c>
      <c r="C16" s="63" t="s">
        <v>426</v>
      </c>
      <c r="D16" s="67">
        <v>193654</v>
      </c>
      <c r="E16" s="67"/>
      <c r="F16" s="61" t="str">
        <f t="shared" si="0"/>
        <v>借</v>
      </c>
      <c r="G16" s="64">
        <f>SUM(D$6:E16)</f>
        <v>12799359</v>
      </c>
      <c r="H16" s="61"/>
      <c r="I16" s="61" t="s">
        <v>427</v>
      </c>
      <c r="J16" s="61" t="s">
        <v>114</v>
      </c>
      <c r="K16" s="64">
        <v>193654</v>
      </c>
      <c r="L16" s="61"/>
      <c r="M16" s="65" t="s">
        <v>406</v>
      </c>
      <c r="N16" s="61"/>
      <c r="O16" s="61"/>
      <c r="P16" s="61"/>
      <c r="Q16" s="61"/>
      <c r="R16" s="61">
        <v>341552</v>
      </c>
      <c r="S16" s="66" t="s">
        <v>26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403</v>
      </c>
      <c r="B17" s="62">
        <v>45083</v>
      </c>
      <c r="C17" s="63" t="s">
        <v>428</v>
      </c>
      <c r="D17" s="67">
        <v>660000</v>
      </c>
      <c r="E17" s="67"/>
      <c r="F17" s="61" t="str">
        <f t="shared" si="0"/>
        <v>借</v>
      </c>
      <c r="G17" s="64">
        <f>SUM(D$6:E17)</f>
        <v>13459359</v>
      </c>
      <c r="H17" s="61"/>
      <c r="I17" s="61" t="s">
        <v>429</v>
      </c>
      <c r="J17" s="61" t="s">
        <v>114</v>
      </c>
      <c r="K17" s="64">
        <v>660000</v>
      </c>
      <c r="L17" s="61"/>
      <c r="M17" s="65" t="s">
        <v>430</v>
      </c>
      <c r="N17" s="61"/>
      <c r="O17" s="61"/>
      <c r="P17" s="61"/>
      <c r="Q17" s="61"/>
      <c r="R17" s="61">
        <v>341552</v>
      </c>
      <c r="S17" s="66" t="s">
        <v>26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403</v>
      </c>
      <c r="B18" s="62">
        <v>45104</v>
      </c>
      <c r="C18" s="63" t="s">
        <v>436</v>
      </c>
      <c r="D18" s="67">
        <v>14600</v>
      </c>
      <c r="E18" s="67"/>
      <c r="F18" s="61" t="str">
        <f t="shared" si="0"/>
        <v>借</v>
      </c>
      <c r="G18" s="64">
        <f>SUM(D$6:E18)</f>
        <v>13473959</v>
      </c>
      <c r="H18" s="61"/>
      <c r="I18" s="61" t="s">
        <v>433</v>
      </c>
      <c r="J18" s="61" t="s">
        <v>114</v>
      </c>
      <c r="K18" s="64">
        <v>14600</v>
      </c>
      <c r="L18" s="61"/>
      <c r="M18" s="65" t="s">
        <v>434</v>
      </c>
      <c r="N18" s="61"/>
      <c r="O18" s="61"/>
      <c r="P18" s="61"/>
      <c r="Q18" s="61"/>
      <c r="R18" s="61">
        <v>346317</v>
      </c>
      <c r="S18" s="66" t="s">
        <v>26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403</v>
      </c>
      <c r="B19" s="62">
        <v>45104</v>
      </c>
      <c r="C19" s="63" t="s">
        <v>435</v>
      </c>
      <c r="D19" s="67">
        <v>100000</v>
      </c>
      <c r="E19" s="67"/>
      <c r="F19" s="61" t="str">
        <f t="shared" si="0"/>
        <v>借</v>
      </c>
      <c r="G19" s="64">
        <f>SUM(D$6:E19)</f>
        <v>13573959</v>
      </c>
      <c r="H19" s="61"/>
      <c r="I19" s="61" t="s">
        <v>433</v>
      </c>
      <c r="J19" s="61" t="s">
        <v>114</v>
      </c>
      <c r="K19" s="64">
        <v>100000</v>
      </c>
      <c r="L19" s="61"/>
      <c r="M19" s="65" t="s">
        <v>434</v>
      </c>
      <c r="N19" s="61"/>
      <c r="O19" s="61"/>
      <c r="P19" s="61"/>
      <c r="Q19" s="61"/>
      <c r="R19" s="61">
        <v>346317</v>
      </c>
      <c r="S19" s="66" t="s">
        <v>26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403</v>
      </c>
      <c r="B20" s="62">
        <v>45104</v>
      </c>
      <c r="C20" s="63" t="s">
        <v>432</v>
      </c>
      <c r="D20" s="67">
        <v>425400</v>
      </c>
      <c r="E20" s="67"/>
      <c r="F20" s="61" t="str">
        <f t="shared" si="0"/>
        <v>借</v>
      </c>
      <c r="G20" s="64">
        <f>SUM(D$6:E20)</f>
        <v>13999359</v>
      </c>
      <c r="H20" s="61"/>
      <c r="I20" s="61" t="s">
        <v>433</v>
      </c>
      <c r="J20" s="61" t="s">
        <v>114</v>
      </c>
      <c r="K20" s="64">
        <v>425400</v>
      </c>
      <c r="L20" s="61"/>
      <c r="M20" s="65" t="s">
        <v>434</v>
      </c>
      <c r="N20" s="61"/>
      <c r="O20" s="61"/>
      <c r="P20" s="61"/>
      <c r="Q20" s="61"/>
      <c r="R20" s="61">
        <v>346317</v>
      </c>
      <c r="S20" s="66" t="s">
        <v>26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403</v>
      </c>
      <c r="B21" s="62">
        <v>45107</v>
      </c>
      <c r="C21" s="63" t="s">
        <v>448</v>
      </c>
      <c r="D21" s="67">
        <v>242000</v>
      </c>
      <c r="E21" s="67"/>
      <c r="F21" s="61" t="str">
        <f t="shared" si="0"/>
        <v>借</v>
      </c>
      <c r="G21" s="64">
        <f>SUM(D$6:E21)</f>
        <v>14241359</v>
      </c>
      <c r="H21" s="61"/>
      <c r="I21" s="61" t="s">
        <v>449</v>
      </c>
      <c r="J21" s="61" t="s">
        <v>114</v>
      </c>
      <c r="K21" s="64">
        <v>242000</v>
      </c>
      <c r="L21" s="61"/>
      <c r="M21" s="65" t="s">
        <v>447</v>
      </c>
      <c r="N21" s="61"/>
      <c r="O21" s="61"/>
      <c r="P21" s="61"/>
      <c r="Q21" s="61"/>
      <c r="R21" s="61">
        <v>345943</v>
      </c>
      <c r="S21" s="66" t="s">
        <v>63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403</v>
      </c>
      <c r="B22" s="62">
        <v>45107</v>
      </c>
      <c r="C22" s="63" t="s">
        <v>442</v>
      </c>
      <c r="D22" s="67">
        <v>256500</v>
      </c>
      <c r="E22" s="67"/>
      <c r="F22" s="61" t="str">
        <f t="shared" si="0"/>
        <v>借</v>
      </c>
      <c r="G22" s="64">
        <f>SUM(D$6:E22)</f>
        <v>14497859</v>
      </c>
      <c r="H22" s="61"/>
      <c r="I22" s="61" t="s">
        <v>443</v>
      </c>
      <c r="J22" s="61" t="s">
        <v>114</v>
      </c>
      <c r="K22" s="64">
        <v>256500</v>
      </c>
      <c r="L22" s="61"/>
      <c r="M22" s="65" t="s">
        <v>444</v>
      </c>
      <c r="N22" s="61"/>
      <c r="O22" s="61"/>
      <c r="P22" s="61"/>
      <c r="Q22" s="61"/>
      <c r="R22" s="61">
        <v>345943</v>
      </c>
      <c r="S22" s="66" t="s">
        <v>63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403</v>
      </c>
      <c r="B23" s="62">
        <v>45107</v>
      </c>
      <c r="C23" s="63" t="s">
        <v>445</v>
      </c>
      <c r="D23" s="67">
        <v>260000</v>
      </c>
      <c r="E23" s="67"/>
      <c r="F23" s="61" t="str">
        <f t="shared" si="0"/>
        <v>借</v>
      </c>
      <c r="G23" s="64">
        <f>SUM(D$6:E23)</f>
        <v>14757859</v>
      </c>
      <c r="H23" s="61"/>
      <c r="I23" s="61" t="s">
        <v>446</v>
      </c>
      <c r="J23" s="61" t="s">
        <v>114</v>
      </c>
      <c r="K23" s="64">
        <v>260000</v>
      </c>
      <c r="L23" s="61"/>
      <c r="M23" s="65" t="s">
        <v>447</v>
      </c>
      <c r="N23" s="61"/>
      <c r="O23" s="61"/>
      <c r="P23" s="61"/>
      <c r="Q23" s="61"/>
      <c r="R23" s="61">
        <v>345943</v>
      </c>
      <c r="S23" s="66" t="s">
        <v>63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403</v>
      </c>
      <c r="B24" s="62">
        <v>45107</v>
      </c>
      <c r="C24" s="63" t="s">
        <v>437</v>
      </c>
      <c r="D24" s="67">
        <v>327600</v>
      </c>
      <c r="E24" s="67"/>
      <c r="F24" s="61" t="str">
        <f t="shared" si="0"/>
        <v>借</v>
      </c>
      <c r="G24" s="64">
        <f>SUM(D$6:E24)</f>
        <v>15085459</v>
      </c>
      <c r="H24" s="61"/>
      <c r="I24" s="61" t="s">
        <v>438</v>
      </c>
      <c r="J24" s="61" t="s">
        <v>114</v>
      </c>
      <c r="K24" s="64">
        <v>327600</v>
      </c>
      <c r="L24" s="61"/>
      <c r="M24" s="65" t="s">
        <v>439</v>
      </c>
      <c r="N24" s="61"/>
      <c r="O24" s="61"/>
      <c r="P24" s="61"/>
      <c r="Q24" s="61"/>
      <c r="R24" s="61">
        <v>345943</v>
      </c>
      <c r="S24" s="66" t="s">
        <v>63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403</v>
      </c>
      <c r="B25" s="62">
        <v>45107</v>
      </c>
      <c r="C25" s="63" t="s">
        <v>440</v>
      </c>
      <c r="D25" s="67">
        <v>700000</v>
      </c>
      <c r="E25" s="67"/>
      <c r="F25" s="61" t="str">
        <f t="shared" si="0"/>
        <v>借</v>
      </c>
      <c r="G25" s="64">
        <f>SUM(D$6:E25)</f>
        <v>15785459</v>
      </c>
      <c r="H25" s="61"/>
      <c r="I25" s="61" t="s">
        <v>441</v>
      </c>
      <c r="J25" s="61" t="s">
        <v>114</v>
      </c>
      <c r="K25" s="64">
        <v>700000</v>
      </c>
      <c r="L25" s="61"/>
      <c r="M25" s="65" t="s">
        <v>224</v>
      </c>
      <c r="N25" s="61"/>
      <c r="O25" s="61"/>
      <c r="P25" s="61"/>
      <c r="Q25" s="61"/>
      <c r="R25" s="61">
        <v>345943</v>
      </c>
      <c r="S25" s="66" t="s">
        <v>63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403</v>
      </c>
      <c r="B26" s="62">
        <v>45147</v>
      </c>
      <c r="C26" s="63" t="s">
        <v>450</v>
      </c>
      <c r="D26" s="67">
        <v>13064</v>
      </c>
      <c r="E26" s="67"/>
      <c r="F26" s="61" t="str">
        <f t="shared" si="0"/>
        <v>借</v>
      </c>
      <c r="G26" s="64">
        <f>SUM(D$6:E26)</f>
        <v>15798523</v>
      </c>
      <c r="H26" s="61"/>
      <c r="I26" s="61" t="s">
        <v>451</v>
      </c>
      <c r="J26" s="61" t="s">
        <v>114</v>
      </c>
      <c r="K26" s="64">
        <v>13064</v>
      </c>
      <c r="L26" s="61"/>
      <c r="M26" s="65" t="s">
        <v>414</v>
      </c>
      <c r="N26" s="61"/>
      <c r="O26" s="61"/>
      <c r="P26" s="61"/>
      <c r="Q26" s="61"/>
      <c r="R26" s="61">
        <v>354422</v>
      </c>
      <c r="S26" s="66" t="s">
        <v>63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403</v>
      </c>
      <c r="B27" s="62">
        <v>45188</v>
      </c>
      <c r="C27" s="63" t="s">
        <v>452</v>
      </c>
      <c r="D27" s="67">
        <v>320000</v>
      </c>
      <c r="E27" s="67"/>
      <c r="F27" s="61" t="str">
        <f t="shared" si="0"/>
        <v>借</v>
      </c>
      <c r="G27" s="64">
        <f>SUM(D$6:E27)</f>
        <v>16118523</v>
      </c>
      <c r="H27" s="61"/>
      <c r="I27" s="61" t="s">
        <v>453</v>
      </c>
      <c r="J27" s="61" t="s">
        <v>114</v>
      </c>
      <c r="K27" s="64">
        <v>320000</v>
      </c>
      <c r="L27" s="61"/>
      <c r="M27" s="65" t="s">
        <v>454</v>
      </c>
      <c r="N27" s="61"/>
      <c r="O27" s="61"/>
      <c r="P27" s="61"/>
      <c r="Q27" s="61"/>
      <c r="R27" s="61">
        <v>363304</v>
      </c>
      <c r="S27" s="66" t="s">
        <v>63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403</v>
      </c>
      <c r="B28" s="62">
        <v>45237</v>
      </c>
      <c r="C28" s="63" t="s">
        <v>455</v>
      </c>
      <c r="D28" s="67">
        <v>41827</v>
      </c>
      <c r="E28" s="67"/>
      <c r="F28" s="61" t="str">
        <f t="shared" si="0"/>
        <v>借</v>
      </c>
      <c r="G28" s="64">
        <f>SUM(D$6:E28)</f>
        <v>16160350</v>
      </c>
      <c r="H28" s="61"/>
      <c r="I28" s="61" t="s">
        <v>456</v>
      </c>
      <c r="J28" s="61" t="s">
        <v>114</v>
      </c>
      <c r="K28" s="64">
        <v>41827</v>
      </c>
      <c r="L28" s="61"/>
      <c r="M28" s="65" t="s">
        <v>239</v>
      </c>
      <c r="N28" s="61"/>
      <c r="O28" s="61"/>
      <c r="P28" s="61"/>
      <c r="Q28" s="61"/>
      <c r="R28" s="61">
        <v>372750</v>
      </c>
      <c r="S28" s="66" t="s">
        <v>63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403</v>
      </c>
      <c r="B29" s="62">
        <v>45245</v>
      </c>
      <c r="C29" s="63" t="s">
        <v>457</v>
      </c>
      <c r="D29" s="67">
        <v>20000</v>
      </c>
      <c r="E29" s="67"/>
      <c r="F29" s="61" t="str">
        <f t="shared" si="0"/>
        <v>借</v>
      </c>
      <c r="G29" s="64">
        <f>SUM(D$6:E29)</f>
        <v>16180350</v>
      </c>
      <c r="H29" s="61"/>
      <c r="I29" s="61" t="s">
        <v>458</v>
      </c>
      <c r="J29" s="61" t="s">
        <v>114</v>
      </c>
      <c r="K29" s="64">
        <v>20000</v>
      </c>
      <c r="L29" s="61"/>
      <c r="M29" s="65" t="s">
        <v>459</v>
      </c>
      <c r="N29" s="61"/>
      <c r="O29" s="61"/>
      <c r="P29" s="61"/>
      <c r="Q29" s="61"/>
      <c r="R29" s="61">
        <v>372753</v>
      </c>
      <c r="S29" s="66" t="s">
        <v>63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403</v>
      </c>
      <c r="B30" s="62">
        <v>45266</v>
      </c>
      <c r="C30" s="63" t="s">
        <v>460</v>
      </c>
      <c r="D30" s="67">
        <v>2176080</v>
      </c>
      <c r="E30" s="67"/>
      <c r="F30" s="61" t="str">
        <f t="shared" si="0"/>
        <v>借</v>
      </c>
      <c r="G30" s="64">
        <f>SUM(D$6:E30)</f>
        <v>18356430</v>
      </c>
      <c r="H30" s="61"/>
      <c r="I30" s="61" t="s">
        <v>461</v>
      </c>
      <c r="J30" s="61" t="s">
        <v>114</v>
      </c>
      <c r="K30" s="64">
        <v>2176080</v>
      </c>
      <c r="L30" s="61"/>
      <c r="M30" s="65" t="s">
        <v>462</v>
      </c>
      <c r="N30" s="61"/>
      <c r="O30" s="61"/>
      <c r="P30" s="61"/>
      <c r="Q30" s="61"/>
      <c r="R30" s="61">
        <v>377657</v>
      </c>
      <c r="S30" s="66" t="s">
        <v>63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403</v>
      </c>
      <c r="B31" s="62">
        <v>45369</v>
      </c>
      <c r="C31" s="63" t="s">
        <v>478</v>
      </c>
      <c r="D31" s="67">
        <v>3944</v>
      </c>
      <c r="E31" s="67"/>
      <c r="F31" s="61" t="str">
        <f t="shared" si="0"/>
        <v>借</v>
      </c>
      <c r="G31" s="64">
        <f>SUM(D$6:E31)</f>
        <v>18360374</v>
      </c>
      <c r="H31" s="61"/>
      <c r="I31" s="61" t="s">
        <v>479</v>
      </c>
      <c r="J31" s="61" t="s">
        <v>114</v>
      </c>
      <c r="K31" s="64">
        <v>3944</v>
      </c>
      <c r="L31" s="61"/>
      <c r="M31" s="65" t="s">
        <v>480</v>
      </c>
      <c r="N31" s="61"/>
      <c r="O31" s="61"/>
      <c r="P31" s="61"/>
      <c r="Q31" s="61"/>
      <c r="R31" s="61">
        <v>396100</v>
      </c>
      <c r="S31" s="66" t="s">
        <v>63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403</v>
      </c>
      <c r="B32" s="62">
        <v>45369</v>
      </c>
      <c r="C32" s="63" t="s">
        <v>481</v>
      </c>
      <c r="D32" s="67">
        <v>3944</v>
      </c>
      <c r="E32" s="67"/>
      <c r="F32" s="61" t="str">
        <f t="shared" si="0"/>
        <v>借</v>
      </c>
      <c r="G32" s="64">
        <f>SUM(D$6:E32)</f>
        <v>18364318</v>
      </c>
      <c r="H32" s="61"/>
      <c r="I32" s="61" t="s">
        <v>482</v>
      </c>
      <c r="J32" s="61" t="s">
        <v>114</v>
      </c>
      <c r="K32" s="64">
        <v>3944</v>
      </c>
      <c r="L32" s="61"/>
      <c r="M32" s="65" t="s">
        <v>483</v>
      </c>
      <c r="N32" s="61"/>
      <c r="O32" s="61"/>
      <c r="P32" s="61"/>
      <c r="Q32" s="61"/>
      <c r="R32" s="61">
        <v>396100</v>
      </c>
      <c r="S32" s="66" t="s">
        <v>63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403</v>
      </c>
      <c r="B33" s="62">
        <v>45369</v>
      </c>
      <c r="C33" s="63" t="s">
        <v>472</v>
      </c>
      <c r="D33" s="67">
        <v>78345</v>
      </c>
      <c r="E33" s="67"/>
      <c r="F33" s="61" t="str">
        <f t="shared" si="0"/>
        <v>借</v>
      </c>
      <c r="G33" s="64">
        <f>SUM(D$6:E33)</f>
        <v>18442663</v>
      </c>
      <c r="H33" s="61"/>
      <c r="I33" s="61" t="s">
        <v>473</v>
      </c>
      <c r="J33" s="61" t="s">
        <v>114</v>
      </c>
      <c r="K33" s="64">
        <v>78345</v>
      </c>
      <c r="L33" s="61"/>
      <c r="M33" s="65" t="s">
        <v>474</v>
      </c>
      <c r="N33" s="61"/>
      <c r="O33" s="61"/>
      <c r="P33" s="61"/>
      <c r="Q33" s="61"/>
      <c r="R33" s="61">
        <v>396100</v>
      </c>
      <c r="S33" s="66" t="s">
        <v>63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403</v>
      </c>
      <c r="B34" s="62">
        <v>45369</v>
      </c>
      <c r="C34" s="63" t="s">
        <v>469</v>
      </c>
      <c r="D34" s="67">
        <v>78345</v>
      </c>
      <c r="E34" s="67"/>
      <c r="F34" s="61" t="str">
        <f t="shared" si="0"/>
        <v>借</v>
      </c>
      <c r="G34" s="64">
        <f>SUM(D$6:E34)</f>
        <v>18521008</v>
      </c>
      <c r="H34" s="61"/>
      <c r="I34" s="61" t="s">
        <v>470</v>
      </c>
      <c r="J34" s="61" t="s">
        <v>114</v>
      </c>
      <c r="K34" s="64">
        <v>78345</v>
      </c>
      <c r="L34" s="61"/>
      <c r="M34" s="65" t="s">
        <v>471</v>
      </c>
      <c r="N34" s="61"/>
      <c r="O34" s="61"/>
      <c r="P34" s="61"/>
      <c r="Q34" s="61"/>
      <c r="R34" s="61">
        <v>396100</v>
      </c>
      <c r="S34" s="66" t="s">
        <v>63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403</v>
      </c>
      <c r="B35" s="62">
        <v>45369</v>
      </c>
      <c r="C35" s="63" t="s">
        <v>466</v>
      </c>
      <c r="D35" s="67">
        <v>78345</v>
      </c>
      <c r="E35" s="67"/>
      <c r="F35" s="61" t="str">
        <f t="shared" si="0"/>
        <v>借</v>
      </c>
      <c r="G35" s="64">
        <f>SUM(D$6:E35)</f>
        <v>18599353</v>
      </c>
      <c r="H35" s="61"/>
      <c r="I35" s="61" t="s">
        <v>467</v>
      </c>
      <c r="J35" s="61" t="s">
        <v>114</v>
      </c>
      <c r="K35" s="64">
        <v>78345</v>
      </c>
      <c r="L35" s="61"/>
      <c r="M35" s="65" t="s">
        <v>468</v>
      </c>
      <c r="N35" s="61"/>
      <c r="O35" s="61"/>
      <c r="P35" s="61"/>
      <c r="Q35" s="61"/>
      <c r="R35" s="61">
        <v>396100</v>
      </c>
      <c r="S35" s="66" t="s">
        <v>63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403</v>
      </c>
      <c r="B36" s="62">
        <v>45369</v>
      </c>
      <c r="C36" s="63" t="s">
        <v>484</v>
      </c>
      <c r="D36" s="67">
        <v>117517</v>
      </c>
      <c r="E36" s="67"/>
      <c r="F36" s="61" t="str">
        <f t="shared" si="0"/>
        <v>借</v>
      </c>
      <c r="G36" s="64">
        <f>SUM(D$6:E36)</f>
        <v>18716870</v>
      </c>
      <c r="H36" s="61"/>
      <c r="I36" s="61" t="s">
        <v>485</v>
      </c>
      <c r="J36" s="61" t="s">
        <v>114</v>
      </c>
      <c r="K36" s="64">
        <v>117517</v>
      </c>
      <c r="L36" s="61"/>
      <c r="M36" s="65" t="s">
        <v>486</v>
      </c>
      <c r="N36" s="61"/>
      <c r="O36" s="61"/>
      <c r="P36" s="61"/>
      <c r="Q36" s="61"/>
      <c r="R36" s="61">
        <v>396100</v>
      </c>
      <c r="S36" s="66" t="s">
        <v>63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403</v>
      </c>
      <c r="B37" s="62">
        <v>45369</v>
      </c>
      <c r="C37" s="63" t="s">
        <v>475</v>
      </c>
      <c r="D37" s="67">
        <v>227147</v>
      </c>
      <c r="E37" s="67"/>
      <c r="F37" s="61" t="str">
        <f t="shared" si="0"/>
        <v>借</v>
      </c>
      <c r="G37" s="64">
        <f>SUM(D$6:E37)</f>
        <v>18944017</v>
      </c>
      <c r="H37" s="61"/>
      <c r="I37" s="61" t="s">
        <v>476</v>
      </c>
      <c r="J37" s="61" t="s">
        <v>114</v>
      </c>
      <c r="K37" s="64">
        <v>227147</v>
      </c>
      <c r="L37" s="61"/>
      <c r="M37" s="65" t="s">
        <v>477</v>
      </c>
      <c r="N37" s="61"/>
      <c r="O37" s="61"/>
      <c r="P37" s="61"/>
      <c r="Q37" s="61"/>
      <c r="R37" s="61">
        <v>396100</v>
      </c>
      <c r="S37" s="66" t="s">
        <v>63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403</v>
      </c>
      <c r="B38" s="62">
        <v>45369</v>
      </c>
      <c r="C38" s="63" t="s">
        <v>463</v>
      </c>
      <c r="D38" s="67">
        <v>235035</v>
      </c>
      <c r="E38" s="67"/>
      <c r="F38" s="61" t="str">
        <f t="shared" si="0"/>
        <v>借</v>
      </c>
      <c r="G38" s="64">
        <f>SUM(D$6:E38)</f>
        <v>19179052</v>
      </c>
      <c r="H38" s="61"/>
      <c r="I38" s="61" t="s">
        <v>464</v>
      </c>
      <c r="J38" s="61" t="s">
        <v>114</v>
      </c>
      <c r="K38" s="64">
        <v>235035</v>
      </c>
      <c r="L38" s="61"/>
      <c r="M38" s="65" t="s">
        <v>465</v>
      </c>
      <c r="N38" s="61"/>
      <c r="O38" s="61"/>
      <c r="P38" s="61"/>
      <c r="Q38" s="61"/>
      <c r="R38" s="61">
        <v>396100</v>
      </c>
      <c r="S38" s="66" t="s">
        <v>63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403</v>
      </c>
      <c r="B39" s="62">
        <v>45369</v>
      </c>
      <c r="C39" s="63" t="s">
        <v>487</v>
      </c>
      <c r="D39" s="67">
        <v>235035</v>
      </c>
      <c r="E39" s="67"/>
      <c r="F39" s="61" t="str">
        <f t="shared" si="0"/>
        <v>借</v>
      </c>
      <c r="G39" s="64">
        <f>SUM(D$6:E39)</f>
        <v>19414087</v>
      </c>
      <c r="H39" s="61"/>
      <c r="I39" s="61" t="s">
        <v>488</v>
      </c>
      <c r="J39" s="61" t="s">
        <v>114</v>
      </c>
      <c r="K39" s="64">
        <v>235035</v>
      </c>
      <c r="L39" s="61"/>
      <c r="M39" s="65" t="s">
        <v>489</v>
      </c>
      <c r="N39" s="61"/>
      <c r="O39" s="61"/>
      <c r="P39" s="61"/>
      <c r="Q39" s="61"/>
      <c r="R39" s="61">
        <v>396100</v>
      </c>
      <c r="S39" s="66" t="s">
        <v>63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403</v>
      </c>
      <c r="B40" s="62">
        <v>45407</v>
      </c>
      <c r="C40" s="63" t="s">
        <v>490</v>
      </c>
      <c r="D40" s="67">
        <v>845264</v>
      </c>
      <c r="E40" s="67"/>
      <c r="F40" s="61" t="str">
        <f t="shared" si="0"/>
        <v>借</v>
      </c>
      <c r="G40" s="64">
        <f>SUM(D$6:E40)</f>
        <v>20259351</v>
      </c>
      <c r="H40" s="61"/>
      <c r="I40" s="61" t="s">
        <v>491</v>
      </c>
      <c r="J40" s="61" t="s">
        <v>114</v>
      </c>
      <c r="K40" s="64">
        <v>845264</v>
      </c>
      <c r="L40" s="61"/>
      <c r="M40" s="65" t="s">
        <v>492</v>
      </c>
      <c r="N40" s="61"/>
      <c r="O40" s="61"/>
      <c r="P40" s="61"/>
      <c r="Q40" s="61"/>
      <c r="R40" s="61">
        <v>404361</v>
      </c>
      <c r="S40" s="66" t="s">
        <v>63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403</v>
      </c>
      <c r="B41" s="62">
        <v>45433</v>
      </c>
      <c r="C41" s="63" t="s">
        <v>493</v>
      </c>
      <c r="D41" s="67">
        <v>82000</v>
      </c>
      <c r="E41" s="67"/>
      <c r="F41" s="61" t="str">
        <f t="shared" si="0"/>
        <v>借</v>
      </c>
      <c r="G41" s="64">
        <f>SUM(D$6:E41)</f>
        <v>20341351</v>
      </c>
      <c r="H41" s="61"/>
      <c r="I41" s="61" t="s">
        <v>494</v>
      </c>
      <c r="J41" s="61" t="s">
        <v>114</v>
      </c>
      <c r="K41" s="64">
        <v>82000</v>
      </c>
      <c r="L41" s="61"/>
      <c r="M41" s="65" t="s">
        <v>495</v>
      </c>
      <c r="N41" s="61"/>
      <c r="O41" s="61"/>
      <c r="P41" s="61"/>
      <c r="Q41" s="61"/>
      <c r="R41" s="61">
        <v>407693</v>
      </c>
      <c r="S41" s="66" t="s">
        <v>63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403</v>
      </c>
      <c r="B42" s="62">
        <v>45434</v>
      </c>
      <c r="C42" s="63" t="s">
        <v>496</v>
      </c>
      <c r="D42" s="67">
        <v>362230</v>
      </c>
      <c r="E42" s="67"/>
      <c r="F42" s="61" t="str">
        <f t="shared" si="0"/>
        <v>借</v>
      </c>
      <c r="G42" s="64">
        <f>SUM(D$6:E42)</f>
        <v>20703581</v>
      </c>
      <c r="H42" s="61"/>
      <c r="I42" s="61" t="s">
        <v>497</v>
      </c>
      <c r="J42" s="61" t="s">
        <v>114</v>
      </c>
      <c r="K42" s="64">
        <v>362230</v>
      </c>
      <c r="L42" s="61"/>
      <c r="M42" s="65" t="s">
        <v>406</v>
      </c>
      <c r="N42" s="61"/>
      <c r="O42" s="61"/>
      <c r="P42" s="61"/>
      <c r="Q42" s="61"/>
      <c r="R42" s="61">
        <v>408905</v>
      </c>
      <c r="S42" s="66" t="s">
        <v>63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403</v>
      </c>
      <c r="B43" s="62">
        <v>45443</v>
      </c>
      <c r="C43" s="63" t="s">
        <v>498</v>
      </c>
      <c r="D43" s="67">
        <v>1377951</v>
      </c>
      <c r="E43" s="67"/>
      <c r="F43" s="61" t="str">
        <f t="shared" si="0"/>
        <v>借</v>
      </c>
      <c r="G43" s="64">
        <f>SUM(D$6:E43)</f>
        <v>22081532</v>
      </c>
      <c r="H43" s="61"/>
      <c r="I43" s="61" t="s">
        <v>499</v>
      </c>
      <c r="J43" s="61" t="s">
        <v>114</v>
      </c>
      <c r="K43" s="64">
        <v>1377951</v>
      </c>
      <c r="L43" s="61"/>
      <c r="M43" s="65" t="s">
        <v>275</v>
      </c>
      <c r="N43" s="61"/>
      <c r="O43" s="61"/>
      <c r="P43" s="61"/>
      <c r="Q43" s="61"/>
      <c r="R43" s="61">
        <v>410514</v>
      </c>
      <c r="S43" s="66" t="s">
        <v>63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403</v>
      </c>
      <c r="B44" s="62">
        <v>45444</v>
      </c>
      <c r="C44" s="63" t="s">
        <v>502</v>
      </c>
      <c r="D44" s="67">
        <v>18000</v>
      </c>
      <c r="E44" s="67"/>
      <c r="F44" s="61" t="str">
        <f t="shared" si="0"/>
        <v>借</v>
      </c>
      <c r="G44" s="64">
        <f>SUM(D$6:E44)</f>
        <v>22099532</v>
      </c>
      <c r="H44" s="61"/>
      <c r="I44" s="61" t="s">
        <v>503</v>
      </c>
      <c r="J44" s="61" t="s">
        <v>114</v>
      </c>
      <c r="K44" s="64">
        <v>18000</v>
      </c>
      <c r="L44" s="61"/>
      <c r="M44" s="65" t="s">
        <v>459</v>
      </c>
      <c r="N44" s="61"/>
      <c r="O44" s="61"/>
      <c r="P44" s="61"/>
      <c r="Q44" s="61"/>
      <c r="R44" s="61">
        <v>413306</v>
      </c>
      <c r="S44" s="66" t="s">
        <v>63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403</v>
      </c>
      <c r="B45" s="62">
        <v>45444</v>
      </c>
      <c r="C45" s="63" t="s">
        <v>500</v>
      </c>
      <c r="D45" s="67">
        <v>63000</v>
      </c>
      <c r="E45" s="67"/>
      <c r="F45" s="61" t="str">
        <f t="shared" si="0"/>
        <v>借</v>
      </c>
      <c r="G45" s="64">
        <f>SUM(D$6:E45)</f>
        <v>22162532</v>
      </c>
      <c r="H45" s="61"/>
      <c r="I45" s="61" t="s">
        <v>501</v>
      </c>
      <c r="J45" s="61" t="s">
        <v>114</v>
      </c>
      <c r="K45" s="64">
        <v>63000</v>
      </c>
      <c r="L45" s="61"/>
      <c r="M45" s="65" t="s">
        <v>396</v>
      </c>
      <c r="N45" s="61"/>
      <c r="O45" s="61"/>
      <c r="P45" s="61"/>
      <c r="Q45" s="61"/>
      <c r="R45" s="61">
        <v>413305</v>
      </c>
      <c r="S45" s="66" t="s">
        <v>63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403</v>
      </c>
      <c r="B46" s="62">
        <v>45456</v>
      </c>
      <c r="C46" s="63" t="s">
        <v>504</v>
      </c>
      <c r="D46" s="67">
        <v>837000</v>
      </c>
      <c r="E46" s="67"/>
      <c r="F46" s="61" t="str">
        <f t="shared" si="0"/>
        <v>借</v>
      </c>
      <c r="G46" s="64">
        <f>SUM(D$6:E46)</f>
        <v>22999532</v>
      </c>
      <c r="H46" s="61"/>
      <c r="I46" s="61" t="s">
        <v>505</v>
      </c>
      <c r="J46" s="61" t="s">
        <v>114</v>
      </c>
      <c r="K46" s="64">
        <v>837000</v>
      </c>
      <c r="L46" s="61"/>
      <c r="M46" s="65" t="s">
        <v>506</v>
      </c>
      <c r="N46" s="61"/>
      <c r="O46" s="61"/>
      <c r="P46" s="61"/>
      <c r="Q46" s="61"/>
      <c r="R46" s="61">
        <v>413342</v>
      </c>
      <c r="S46" s="66" t="s">
        <v>63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403</v>
      </c>
      <c r="B47" s="62">
        <v>45477</v>
      </c>
      <c r="C47" s="63" t="s">
        <v>507</v>
      </c>
      <c r="D47" s="67">
        <v>284000</v>
      </c>
      <c r="E47" s="67"/>
      <c r="F47" s="61" t="str">
        <f t="shared" si="0"/>
        <v>借</v>
      </c>
      <c r="G47" s="64">
        <f>SUM(D$6:E47)</f>
        <v>23283532</v>
      </c>
      <c r="H47" s="61"/>
      <c r="I47" s="61" t="s">
        <v>508</v>
      </c>
      <c r="J47" s="61" t="s">
        <v>114</v>
      </c>
      <c r="K47" s="64">
        <v>284000</v>
      </c>
      <c r="L47" s="61"/>
      <c r="M47" s="65" t="s">
        <v>509</v>
      </c>
      <c r="N47" s="61"/>
      <c r="O47" s="61"/>
      <c r="P47" s="61"/>
      <c r="Q47" s="61"/>
      <c r="R47" s="61">
        <v>420183</v>
      </c>
      <c r="S47" s="66" t="s">
        <v>63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403</v>
      </c>
      <c r="B48" s="62">
        <v>45495</v>
      </c>
      <c r="C48" s="63" t="s">
        <v>510</v>
      </c>
      <c r="D48" s="67">
        <v>627082</v>
      </c>
      <c r="E48" s="67"/>
      <c r="F48" s="61" t="str">
        <f t="shared" si="0"/>
        <v>借</v>
      </c>
      <c r="G48" s="64">
        <f>SUM(D$6:E48)</f>
        <v>23910614</v>
      </c>
      <c r="H48" s="61"/>
      <c r="I48" s="61" t="s">
        <v>511</v>
      </c>
      <c r="J48" s="61" t="s">
        <v>114</v>
      </c>
      <c r="K48" s="64">
        <v>627082</v>
      </c>
      <c r="L48" s="61"/>
      <c r="M48" s="65" t="s">
        <v>512</v>
      </c>
      <c r="N48" s="61"/>
      <c r="O48" s="61"/>
      <c r="P48" s="61"/>
      <c r="Q48" s="61"/>
      <c r="R48" s="61">
        <v>420185</v>
      </c>
      <c r="S48" s="66" t="s">
        <v>63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403</v>
      </c>
      <c r="B49" s="62">
        <v>45545</v>
      </c>
      <c r="C49" s="63" t="s">
        <v>513</v>
      </c>
      <c r="D49" s="67">
        <v>1071018</v>
      </c>
      <c r="E49" s="67"/>
      <c r="F49" s="61" t="str">
        <f t="shared" si="0"/>
        <v>借</v>
      </c>
      <c r="G49" s="64">
        <f>SUM(D$6:E49)</f>
        <v>24981632</v>
      </c>
      <c r="H49" s="61"/>
      <c r="I49" s="61" t="s">
        <v>514</v>
      </c>
      <c r="J49" s="61" t="s">
        <v>114</v>
      </c>
      <c r="K49" s="64">
        <v>1071018</v>
      </c>
      <c r="L49" s="61"/>
      <c r="M49" s="65" t="s">
        <v>393</v>
      </c>
      <c r="N49" s="61"/>
      <c r="O49" s="61"/>
      <c r="P49" s="61"/>
      <c r="Q49" s="61"/>
      <c r="R49" s="61">
        <v>434073</v>
      </c>
      <c r="S49" s="66" t="s">
        <v>63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403</v>
      </c>
      <c r="B50" s="62">
        <v>45610</v>
      </c>
      <c r="C50" s="63" t="s">
        <v>515</v>
      </c>
      <c r="D50" s="67">
        <v>130567</v>
      </c>
      <c r="E50" s="67"/>
      <c r="F50" s="61" t="str">
        <f t="shared" si="0"/>
        <v>借</v>
      </c>
      <c r="G50" s="64">
        <f>SUM(D$6:E50)</f>
        <v>25112199</v>
      </c>
      <c r="H50" s="61"/>
      <c r="I50" s="61" t="s">
        <v>516</v>
      </c>
      <c r="J50" s="61" t="s">
        <v>114</v>
      </c>
      <c r="K50" s="64">
        <v>130567</v>
      </c>
      <c r="L50" s="61"/>
      <c r="M50" s="65" t="s">
        <v>517</v>
      </c>
      <c r="N50" s="61"/>
      <c r="O50" s="61"/>
      <c r="P50" s="61"/>
      <c r="Q50" s="61"/>
      <c r="R50" s="61">
        <v>443595</v>
      </c>
      <c r="S50" s="66" t="s">
        <v>63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403</v>
      </c>
      <c r="B51" s="62">
        <v>45610</v>
      </c>
      <c r="C51" s="63" t="s">
        <v>518</v>
      </c>
      <c r="D51" s="67">
        <v>130567</v>
      </c>
      <c r="E51" s="67"/>
      <c r="F51" s="61" t="str">
        <f t="shared" si="0"/>
        <v>借</v>
      </c>
      <c r="G51" s="64">
        <f>SUM(D$6:E51)</f>
        <v>25242766</v>
      </c>
      <c r="H51" s="61"/>
      <c r="I51" s="61" t="s">
        <v>519</v>
      </c>
      <c r="J51" s="61" t="s">
        <v>114</v>
      </c>
      <c r="K51" s="64">
        <v>130567</v>
      </c>
      <c r="L51" s="61"/>
      <c r="M51" s="65" t="s">
        <v>520</v>
      </c>
      <c r="N51" s="61"/>
      <c r="O51" s="61"/>
      <c r="P51" s="61"/>
      <c r="Q51" s="61"/>
      <c r="R51" s="61">
        <v>443595</v>
      </c>
      <c r="S51" s="66" t="s">
        <v>63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403</v>
      </c>
      <c r="B52" s="62">
        <v>45664</v>
      </c>
      <c r="C52" s="63" t="s">
        <v>524</v>
      </c>
      <c r="D52" s="67">
        <v>29380</v>
      </c>
      <c r="E52" s="67"/>
      <c r="F52" s="61" t="str">
        <f t="shared" si="0"/>
        <v>借</v>
      </c>
      <c r="G52" s="64">
        <f>SUM(D$6:E52)</f>
        <v>25272146</v>
      </c>
      <c r="H52" s="61"/>
      <c r="I52" s="61" t="s">
        <v>525</v>
      </c>
      <c r="J52" s="61" t="s">
        <v>114</v>
      </c>
      <c r="K52" s="64">
        <v>29380</v>
      </c>
      <c r="L52" s="61"/>
      <c r="M52" s="65" t="s">
        <v>526</v>
      </c>
      <c r="N52" s="61"/>
      <c r="O52" s="61"/>
      <c r="P52" s="61"/>
      <c r="Q52" s="61"/>
      <c r="R52" s="61">
        <v>455294</v>
      </c>
      <c r="S52" s="66" t="s">
        <v>63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403</v>
      </c>
      <c r="B53" s="62">
        <v>45664</v>
      </c>
      <c r="C53" s="63" t="s">
        <v>521</v>
      </c>
      <c r="D53" s="67">
        <v>88138</v>
      </c>
      <c r="E53" s="67"/>
      <c r="F53" s="61" t="str">
        <f t="shared" si="0"/>
        <v>借</v>
      </c>
      <c r="G53" s="64">
        <f>SUM(D$6:E53)</f>
        <v>25360284</v>
      </c>
      <c r="H53" s="61"/>
      <c r="I53" s="61" t="s">
        <v>522</v>
      </c>
      <c r="J53" s="61" t="s">
        <v>114</v>
      </c>
      <c r="K53" s="64">
        <v>88138</v>
      </c>
      <c r="L53" s="61"/>
      <c r="M53" s="65" t="s">
        <v>523</v>
      </c>
      <c r="N53" s="61"/>
      <c r="O53" s="61"/>
      <c r="P53" s="61"/>
      <c r="Q53" s="61"/>
      <c r="R53" s="61">
        <v>455294</v>
      </c>
      <c r="S53" s="66" t="s">
        <v>63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403</v>
      </c>
      <c r="B54" s="62">
        <v>45679</v>
      </c>
      <c r="C54" s="63" t="s">
        <v>527</v>
      </c>
      <c r="D54" s="67">
        <v>20000</v>
      </c>
      <c r="E54" s="67"/>
      <c r="F54" s="61" t="str">
        <f t="shared" si="0"/>
        <v>借</v>
      </c>
      <c r="G54" s="64">
        <f>SUM(D$6:E54)</f>
        <v>25380284</v>
      </c>
      <c r="H54" s="61"/>
      <c r="I54" s="61" t="s">
        <v>528</v>
      </c>
      <c r="J54" s="61" t="s">
        <v>114</v>
      </c>
      <c r="K54" s="64">
        <v>20000</v>
      </c>
      <c r="L54" s="61"/>
      <c r="M54" s="65" t="s">
        <v>529</v>
      </c>
      <c r="N54" s="61"/>
      <c r="O54" s="61"/>
      <c r="P54" s="61"/>
      <c r="Q54" s="61"/>
      <c r="R54" s="61">
        <v>459430</v>
      </c>
      <c r="S54" s="66" t="s">
        <v>63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403</v>
      </c>
      <c r="B55" s="62">
        <v>45691</v>
      </c>
      <c r="C55" s="63" t="s">
        <v>530</v>
      </c>
      <c r="D55" s="67">
        <v>839154</v>
      </c>
      <c r="E55" s="67"/>
      <c r="F55" s="61" t="str">
        <f t="shared" si="0"/>
        <v>借</v>
      </c>
      <c r="G55" s="64">
        <f>SUM(D$6:E55)</f>
        <v>26219438</v>
      </c>
      <c r="H55" s="61"/>
      <c r="I55" s="61" t="s">
        <v>531</v>
      </c>
      <c r="J55" s="61" t="s">
        <v>114</v>
      </c>
      <c r="K55" s="64">
        <v>839154</v>
      </c>
      <c r="L55" s="61"/>
      <c r="M55" s="65" t="s">
        <v>532</v>
      </c>
      <c r="N55" s="61"/>
      <c r="O55" s="61"/>
      <c r="P55" s="61"/>
      <c r="Q55" s="61"/>
      <c r="R55" s="61">
        <v>465517</v>
      </c>
      <c r="S55" s="66" t="s">
        <v>63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403</v>
      </c>
      <c r="B56" s="62">
        <v>45763</v>
      </c>
      <c r="C56" s="63" t="s">
        <v>533</v>
      </c>
      <c r="D56" s="67">
        <v>1866501</v>
      </c>
      <c r="E56" s="67"/>
      <c r="F56" s="61" t="str">
        <f t="shared" si="0"/>
        <v>借</v>
      </c>
      <c r="G56" s="64">
        <f>SUM(D$6:E56)</f>
        <v>28085939</v>
      </c>
      <c r="H56" s="61"/>
      <c r="I56" s="61" t="s">
        <v>534</v>
      </c>
      <c r="J56" s="61" t="s">
        <v>114</v>
      </c>
      <c r="K56" s="64">
        <v>1866501</v>
      </c>
      <c r="L56" s="61"/>
      <c r="M56" s="65" t="s">
        <v>396</v>
      </c>
      <c r="N56" s="61"/>
      <c r="O56" s="61"/>
      <c r="P56" s="61"/>
      <c r="Q56" s="61"/>
      <c r="R56" s="61">
        <v>473301</v>
      </c>
      <c r="S56" s="66" t="s">
        <v>63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403</v>
      </c>
      <c r="B57" s="62">
        <v>45818</v>
      </c>
      <c r="C57" s="63" t="s">
        <v>966</v>
      </c>
      <c r="D57" s="67">
        <v>854103</v>
      </c>
      <c r="E57" s="67"/>
      <c r="F57" s="61" t="str">
        <f t="shared" si="0"/>
        <v>借</v>
      </c>
      <c r="G57" s="64">
        <f>SUM(D$6:E57)</f>
        <v>28940042</v>
      </c>
      <c r="H57" s="61"/>
      <c r="I57" s="61" t="s">
        <v>967</v>
      </c>
      <c r="J57" s="61" t="s">
        <v>114</v>
      </c>
      <c r="K57" s="64">
        <v>854103</v>
      </c>
      <c r="L57" s="61"/>
      <c r="M57" s="65" t="s">
        <v>275</v>
      </c>
      <c r="N57" s="61"/>
      <c r="O57" s="61"/>
      <c r="P57" s="61"/>
      <c r="Q57" s="61"/>
      <c r="R57" s="61">
        <v>484062</v>
      </c>
      <c r="S57" s="66" t="s">
        <v>63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403</v>
      </c>
      <c r="B58" s="62">
        <v>45826</v>
      </c>
      <c r="C58" s="63" t="s">
        <v>1003</v>
      </c>
      <c r="D58" s="67">
        <v>487500</v>
      </c>
      <c r="E58" s="67"/>
      <c r="F58" s="61" t="str">
        <f t="shared" si="0"/>
        <v>借</v>
      </c>
      <c r="G58" s="64">
        <f>SUM(D$6:E58)</f>
        <v>29427542</v>
      </c>
      <c r="H58" s="61"/>
      <c r="I58" s="61" t="s">
        <v>1004</v>
      </c>
      <c r="J58" s="61" t="s">
        <v>114</v>
      </c>
      <c r="K58" s="64">
        <v>487500</v>
      </c>
      <c r="L58" s="61"/>
      <c r="M58" s="65" t="s">
        <v>224</v>
      </c>
      <c r="N58" s="61"/>
      <c r="O58" s="61"/>
      <c r="P58" s="61"/>
      <c r="Q58" s="61"/>
      <c r="R58" s="61">
        <v>489018</v>
      </c>
      <c r="S58" s="66" t="s">
        <v>63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403</v>
      </c>
      <c r="B59" s="62">
        <v>45842</v>
      </c>
      <c r="C59" s="63" t="s">
        <v>1012</v>
      </c>
      <c r="D59" s="67">
        <v>407400</v>
      </c>
      <c r="E59" s="67"/>
      <c r="F59" s="61" t="str">
        <f t="shared" si="0"/>
        <v>借</v>
      </c>
      <c r="G59" s="64">
        <f>SUM(D$6:E59)</f>
        <v>29834942</v>
      </c>
      <c r="H59" s="61"/>
      <c r="I59" s="61" t="s">
        <v>1013</v>
      </c>
      <c r="J59" s="61" t="s">
        <v>114</v>
      </c>
      <c r="K59" s="64">
        <v>407400</v>
      </c>
      <c r="L59" s="61"/>
      <c r="M59" s="65" t="s">
        <v>936</v>
      </c>
      <c r="N59" s="61"/>
      <c r="O59" s="61"/>
      <c r="P59" s="61"/>
      <c r="Q59" s="61"/>
      <c r="R59" s="61">
        <v>489706</v>
      </c>
      <c r="S59" s="66" t="s">
        <v>63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403</v>
      </c>
      <c r="B60" s="62">
        <v>45876</v>
      </c>
      <c r="C60" s="63" t="s">
        <v>1114</v>
      </c>
      <c r="D60" s="67">
        <v>26000</v>
      </c>
      <c r="E60" s="67"/>
      <c r="F60" s="61" t="str">
        <f t="shared" si="0"/>
        <v>借</v>
      </c>
      <c r="G60" s="64">
        <f>SUM(D$6:E60)</f>
        <v>29860942</v>
      </c>
      <c r="H60" s="61"/>
      <c r="I60" s="61" t="s">
        <v>1030</v>
      </c>
      <c r="J60" s="61" t="s">
        <v>114</v>
      </c>
      <c r="K60" s="64">
        <v>26000</v>
      </c>
      <c r="L60" s="61"/>
      <c r="M60" s="65" t="s">
        <v>1031</v>
      </c>
      <c r="N60" s="61"/>
      <c r="O60" s="61"/>
      <c r="P60" s="61"/>
      <c r="Q60" s="61"/>
      <c r="R60" s="61">
        <v>502385</v>
      </c>
      <c r="S60" s="66" t="s">
        <v>63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403</v>
      </c>
      <c r="B61" s="62">
        <v>45959</v>
      </c>
      <c r="C61" s="63" t="s">
        <v>1192</v>
      </c>
      <c r="D61" s="67">
        <v>58500</v>
      </c>
      <c r="E61" s="67"/>
      <c r="F61" s="61" t="str">
        <f t="shared" si="0"/>
        <v>借</v>
      </c>
      <c r="G61" s="64">
        <f>SUM(D$6:E61)</f>
        <v>29919442</v>
      </c>
      <c r="H61" s="61"/>
      <c r="I61" s="61" t="s">
        <v>1193</v>
      </c>
      <c r="J61" s="61" t="s">
        <v>114</v>
      </c>
      <c r="K61" s="64">
        <v>58500</v>
      </c>
      <c r="L61" s="61"/>
      <c r="M61" s="65" t="s">
        <v>444</v>
      </c>
      <c r="N61" s="61"/>
      <c r="O61" s="61"/>
      <c r="P61" s="61"/>
      <c r="Q61" s="61"/>
      <c r="R61" s="61">
        <v>513735</v>
      </c>
      <c r="S61" s="66" t="s">
        <v>63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403</v>
      </c>
      <c r="B62" s="62">
        <v>46008</v>
      </c>
      <c r="C62" s="63" t="s">
        <v>1335</v>
      </c>
      <c r="D62" s="67">
        <v>185850</v>
      </c>
      <c r="E62" s="67"/>
      <c r="F62" s="61" t="str">
        <f t="shared" si="0"/>
        <v>借</v>
      </c>
      <c r="G62" s="64">
        <f>SUM(D$6:E62)</f>
        <v>30105292</v>
      </c>
      <c r="H62" s="61"/>
      <c r="I62" s="61" t="s">
        <v>1336</v>
      </c>
      <c r="J62" s="61" t="s">
        <v>114</v>
      </c>
      <c r="K62" s="64">
        <v>185850</v>
      </c>
      <c r="L62" s="61"/>
      <c r="M62" s="65" t="s">
        <v>431</v>
      </c>
      <c r="N62" s="61"/>
      <c r="O62" s="61"/>
      <c r="P62" s="61"/>
      <c r="Q62" s="61"/>
      <c r="R62" s="61">
        <v>524799</v>
      </c>
      <c r="S62" s="66" t="s">
        <v>63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403</v>
      </c>
      <c r="B63" s="62">
        <v>46024</v>
      </c>
      <c r="C63" s="63" t="s">
        <v>1383</v>
      </c>
      <c r="D63" s="67">
        <v>39000</v>
      </c>
      <c r="E63" s="67"/>
      <c r="F63" s="61" t="str">
        <f t="shared" si="0"/>
        <v>借</v>
      </c>
      <c r="G63" s="64">
        <f>SUM(D$6:E63)</f>
        <v>30144292</v>
      </c>
      <c r="H63" s="61"/>
      <c r="I63" s="61" t="s">
        <v>1384</v>
      </c>
      <c r="J63" s="61" t="s">
        <v>114</v>
      </c>
      <c r="K63" s="64">
        <v>39000</v>
      </c>
      <c r="L63" s="61"/>
      <c r="M63" s="65" t="s">
        <v>434</v>
      </c>
      <c r="N63" s="61"/>
      <c r="O63" s="61"/>
      <c r="P63" s="61"/>
      <c r="Q63" s="61"/>
      <c r="R63" s="61">
        <v>528953</v>
      </c>
      <c r="S63" s="66" t="s">
        <v>63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403</v>
      </c>
      <c r="B64" s="62">
        <v>46077</v>
      </c>
      <c r="C64" s="63" t="s">
        <v>1797</v>
      </c>
      <c r="D64" s="67">
        <v>118994</v>
      </c>
      <c r="E64" s="67"/>
      <c r="F64" s="61" t="str">
        <f t="shared" si="0"/>
        <v>借</v>
      </c>
      <c r="G64" s="64">
        <f>SUM(D$6:E64)</f>
        <v>30263286</v>
      </c>
      <c r="H64" s="61"/>
      <c r="I64" s="61" t="s">
        <v>1798</v>
      </c>
      <c r="J64" s="61" t="s">
        <v>114</v>
      </c>
      <c r="K64" s="64">
        <v>118994</v>
      </c>
      <c r="L64" s="61"/>
      <c r="M64" s="65" t="s">
        <v>275</v>
      </c>
      <c r="N64" s="61"/>
      <c r="O64" s="61"/>
      <c r="P64" s="61"/>
      <c r="Q64" s="61"/>
      <c r="R64" s="61">
        <v>538241</v>
      </c>
      <c r="S64" s="66" t="s">
        <v>63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403</v>
      </c>
      <c r="B65" s="62">
        <v>46084</v>
      </c>
      <c r="C65" s="63" t="s">
        <v>1799</v>
      </c>
      <c r="D65" s="67">
        <v>421160</v>
      </c>
      <c r="E65" s="67"/>
      <c r="F65" s="61" t="str">
        <f t="shared" si="0"/>
        <v>借</v>
      </c>
      <c r="G65" s="64">
        <f>SUM(D$6:E65)</f>
        <v>30684446</v>
      </c>
      <c r="H65" s="61"/>
      <c r="I65" s="61" t="s">
        <v>1544</v>
      </c>
      <c r="J65" s="61" t="s">
        <v>114</v>
      </c>
      <c r="K65" s="64">
        <v>421160</v>
      </c>
      <c r="L65" s="61"/>
      <c r="M65" s="65" t="s">
        <v>1545</v>
      </c>
      <c r="N65" s="61"/>
      <c r="O65" s="61"/>
      <c r="P65" s="61"/>
      <c r="Q65" s="61"/>
      <c r="R65" s="61">
        <v>539696</v>
      </c>
      <c r="S65" s="66" t="s">
        <v>63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403</v>
      </c>
      <c r="B66" s="62">
        <v>46106</v>
      </c>
      <c r="C66" s="63" t="s">
        <v>3491</v>
      </c>
      <c r="D66" s="67">
        <v>132316</v>
      </c>
      <c r="E66" s="67"/>
      <c r="F66" s="61" t="str">
        <f t="shared" si="0"/>
        <v>借</v>
      </c>
      <c r="G66" s="64">
        <f>SUM(D$6:E66)</f>
        <v>30816762</v>
      </c>
      <c r="H66" s="61"/>
      <c r="I66" s="61" t="s">
        <v>1796</v>
      </c>
      <c r="J66" s="61" t="s">
        <v>114</v>
      </c>
      <c r="K66" s="64">
        <v>132316</v>
      </c>
      <c r="L66" s="61"/>
      <c r="M66" s="65" t="s">
        <v>406</v>
      </c>
      <c r="N66" s="61"/>
      <c r="O66" s="61"/>
      <c r="P66" s="61"/>
      <c r="Q66" s="61"/>
      <c r="R66" s="61">
        <v>544938</v>
      </c>
      <c r="S66" s="66" t="s">
        <v>63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403</v>
      </c>
      <c r="B67" s="62">
        <v>46112</v>
      </c>
      <c r="C67" s="63" t="s">
        <v>3492</v>
      </c>
      <c r="D67" s="67">
        <v>481600</v>
      </c>
      <c r="E67" s="67"/>
      <c r="F67" s="61" t="str">
        <f t="shared" si="0"/>
        <v>借</v>
      </c>
      <c r="G67" s="64">
        <f>SUM(D$6:E67)</f>
        <v>31298362</v>
      </c>
      <c r="H67" s="61"/>
      <c r="I67" s="61" t="s">
        <v>3493</v>
      </c>
      <c r="J67" s="61" t="s">
        <v>114</v>
      </c>
      <c r="K67" s="64">
        <v>481600</v>
      </c>
      <c r="L67" s="61"/>
      <c r="M67" s="65" t="s">
        <v>3494</v>
      </c>
      <c r="N67" s="61"/>
      <c r="O67" s="61"/>
      <c r="P67" s="61"/>
      <c r="Q67" s="61"/>
      <c r="R67" s="61">
        <v>546560</v>
      </c>
      <c r="S67" s="66" t="s">
        <v>63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403</v>
      </c>
      <c r="B68" s="62">
        <v>46119</v>
      </c>
      <c r="C68" s="63" t="s">
        <v>3495</v>
      </c>
      <c r="D68" s="67">
        <v>143436</v>
      </c>
      <c r="E68" s="67"/>
      <c r="F68" s="61" t="str">
        <f t="shared" si="0"/>
        <v>借</v>
      </c>
      <c r="G68" s="64">
        <f>SUM(D$6:E68)</f>
        <v>31441798</v>
      </c>
      <c r="H68" s="61"/>
      <c r="I68" s="61" t="s">
        <v>3496</v>
      </c>
      <c r="J68" s="61" t="s">
        <v>114</v>
      </c>
      <c r="K68" s="64">
        <v>143436</v>
      </c>
      <c r="L68" s="61"/>
      <c r="M68" s="65" t="s">
        <v>1795</v>
      </c>
      <c r="N68" s="61"/>
      <c r="O68" s="61"/>
      <c r="P68" s="61"/>
      <c r="Q68" s="61"/>
      <c r="R68" s="61">
        <v>547376</v>
      </c>
      <c r="S68" s="66" t="s">
        <v>63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 ht="17.25" thickBot="1">
      <c r="A69" s="44"/>
      <c r="B69" s="44" t="s">
        <v>115</v>
      </c>
      <c r="C69" s="44"/>
      <c r="D69" s="45">
        <f>SUBTOTAL(9,D7:D68)</f>
        <v>31441798</v>
      </c>
      <c r="E69" s="45">
        <f>SUBTOTAL(9,E7:E68)</f>
        <v>0</v>
      </c>
      <c r="F69" s="44" t="str">
        <f t="shared" si="0"/>
        <v>借</v>
      </c>
      <c r="G69" s="46">
        <f>G68</f>
        <v>31441798</v>
      </c>
      <c r="H69" s="44"/>
      <c r="I69" s="44"/>
      <c r="J69" s="44"/>
      <c r="K69" s="47">
        <f>SUBTOTAL(9,K7:K68)</f>
        <v>31441798</v>
      </c>
      <c r="L69" s="44"/>
      <c r="M69" s="48" t="s">
        <v>117</v>
      </c>
      <c r="N69" s="48" t="str">
        <f>IF(O69&gt;0,"借","貸")</f>
        <v>借</v>
      </c>
      <c r="O69" s="49">
        <v>31441798</v>
      </c>
      <c r="P69" s="44" t="s">
        <v>118</v>
      </c>
      <c r="Q69" s="49">
        <f>O69-G69</f>
        <v>0</v>
      </c>
      <c r="R69" s="44"/>
      <c r="S69" s="44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26:44"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26:44"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26:44"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26:44"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26:44"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26:44"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26:44"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26:44"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26:44"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26:44"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26:44"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26:44"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26:44"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26:44"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26:44"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26:44"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26:44"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26:44"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26:44"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26:44"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26:44"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26:44"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26:44"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26:44"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26:44"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26:44"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26:44"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26:44"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26:44"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26:44"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26:44"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26:44"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26:44"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26:44"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26:44"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26:44"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26:44"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26:44"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26:44"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26:44"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26:44"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26:44"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26:44"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26:44"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26:44"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26:44"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26:44"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26:44"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26:44"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26:44"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26:44"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26:44"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26:44"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26:44"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26:44"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26:44"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26:44"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26:44"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26:44"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26:44"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26:44"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26:44"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26:44"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26:44"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26:44"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26:44"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26:44"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26:44"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26:44"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26:44"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26:44"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26:44"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26:44"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26:44"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26:44"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26:44"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26:44"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26:44"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26:44"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26:44"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26:44"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26:44"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26:44"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26:44"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26:44"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26:44"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26:44"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26:44"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26:44"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26:44"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26:44"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26:44"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26:44"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26:44"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26:44"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26:44"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26:44"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26:44"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26:44"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26:44"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26:44"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26:44"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26:44"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26:44"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26:44"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26:44"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26:44"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26:44"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26:44"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26:44"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26:44"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26:44"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26:44"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26:44"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26:44"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26:44"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26:44"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26:44"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26:44"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26:44"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26:44"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26:44"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26:44"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26:44"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26:44"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26:44"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26:44"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26:44"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26:44"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26:44"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26:44"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26:44"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26:44"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26:44"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26:44"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26:44"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26:44"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26:44"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26:44"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26:44"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26:44"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26:44"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26:44"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26:44"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26:44"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26:44"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26:44"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26:44"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</sheetData>
  <autoFilter ref="A5:AR885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C069D261-E79A-414D-9F45-4AC305F3E66F}">
      <formula1>0</formula1>
      <formula2>300</formula2>
    </dataValidation>
    <dataValidation type="textLength" errorStyle="information" allowBlank="1" showInputMessage="1" showErrorMessage="1" error="XLBVal:6=1200478.000_x000d__x000a_" sqref="G4" xr:uid="{67239A5E-86CE-45A2-BC0E-A28E08B6EADB}">
      <formula1>0</formula1>
      <formula2>300</formula2>
    </dataValidation>
    <dataValidation type="textLength" errorStyle="information" allowBlank="1" showInputMessage="1" showErrorMessage="1" error="XLBVal:8=_x000d__x000a_XLBRowCount:8=64_x000d__x000a_XLBColCount:8=19_x000d__x000a_" sqref="A6" xr:uid="{4DE6127A-AE5B-4554-8FB8-B9109FF07D6B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411E-6406-4D60-A052-71441C4C912C}">
  <sheetPr codeName="工作表16">
    <pageSetUpPr fitToPage="1"/>
  </sheetPr>
  <dimension ref="A1:AR615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27.125" style="5" hidden="1" customWidth="1" outlineLevel="1"/>
    <col min="2" max="2" width="11.125" style="5" bestFit="1" customWidth="1" collapsed="1"/>
    <col min="3" max="3" width="21.75" style="5" bestFit="1" customWidth="1"/>
    <col min="4" max="5" width="15.5" style="6" bestFit="1" customWidth="1"/>
    <col min="6" max="6" width="3.75" style="5" bestFit="1" customWidth="1"/>
    <col min="7" max="7" width="18.25" style="7" bestFit="1" customWidth="1"/>
    <col min="8" max="8" width="7" style="5" bestFit="1" customWidth="1"/>
    <col min="9" max="9" width="47.5" style="8" bestFit="1" customWidth="1"/>
    <col min="10" max="10" width="5.75" style="8" bestFit="1" customWidth="1"/>
    <col min="11" max="11" width="15.5" style="9" bestFit="1" customWidth="1"/>
    <col min="12" max="12" width="5.625" style="5" bestFit="1" customWidth="1"/>
    <col min="13" max="13" width="11.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535</v>
      </c>
      <c r="D4" s="2" t="s">
        <v>536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215138413.000",TargetCell,M_BU,$C4,$C4,M_PRD_FROM,M_PRD_TO,M_DATE,M_T1,M_T1,M_T2,M_T2,M_T3,M_T3,M_T4,M_T4,M_T5,M_T5,M_T6,M_T6,M_T8,M_T8)</f>
        <v>215138413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78.7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537</v>
      </c>
      <c r="B7" s="62">
        <v>36794</v>
      </c>
      <c r="C7" s="63" t="s">
        <v>538</v>
      </c>
      <c r="D7" s="67">
        <v>16050</v>
      </c>
      <c r="E7" s="67"/>
      <c r="F7" s="61" t="str">
        <f t="shared" ref="F7:F70" si="0">IF(G7&gt;0,"借","貸")</f>
        <v>借</v>
      </c>
      <c r="G7" s="64">
        <f>SUM(D$6:E7)</f>
        <v>16050</v>
      </c>
      <c r="H7" s="61"/>
      <c r="I7" s="61" t="s">
        <v>539</v>
      </c>
      <c r="J7" s="61" t="s">
        <v>114</v>
      </c>
      <c r="K7" s="64">
        <v>16050</v>
      </c>
      <c r="L7" s="61"/>
      <c r="M7" s="65" t="s">
        <v>540</v>
      </c>
      <c r="N7" s="61"/>
      <c r="O7" s="61"/>
      <c r="P7" s="61"/>
      <c r="Q7" s="61"/>
      <c r="R7" s="61">
        <v>92</v>
      </c>
      <c r="S7" s="66" t="s">
        <v>407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537</v>
      </c>
      <c r="B8" s="62">
        <v>37134</v>
      </c>
      <c r="C8" s="63" t="s">
        <v>541</v>
      </c>
      <c r="D8" s="67">
        <v>75000</v>
      </c>
      <c r="E8" s="67"/>
      <c r="F8" s="61" t="str">
        <f t="shared" si="0"/>
        <v>借</v>
      </c>
      <c r="G8" s="64">
        <f>SUM(D$6:E8)</f>
        <v>91050</v>
      </c>
      <c r="H8" s="61"/>
      <c r="I8" s="61" t="s">
        <v>542</v>
      </c>
      <c r="J8" s="61" t="s">
        <v>114</v>
      </c>
      <c r="K8" s="64">
        <v>75000</v>
      </c>
      <c r="L8" s="61"/>
      <c r="M8" s="65" t="s">
        <v>540</v>
      </c>
      <c r="N8" s="61"/>
      <c r="O8" s="61"/>
      <c r="P8" s="61"/>
      <c r="Q8" s="61"/>
      <c r="R8" s="61">
        <v>92</v>
      </c>
      <c r="S8" s="66" t="s">
        <v>407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537</v>
      </c>
      <c r="B9" s="62">
        <v>37894</v>
      </c>
      <c r="C9" s="63" t="s">
        <v>543</v>
      </c>
      <c r="D9" s="67">
        <v>20000</v>
      </c>
      <c r="E9" s="67"/>
      <c r="F9" s="61" t="str">
        <f t="shared" si="0"/>
        <v>借</v>
      </c>
      <c r="G9" s="64">
        <f>SUM(D$6:E9)</f>
        <v>111050</v>
      </c>
      <c r="H9" s="61"/>
      <c r="I9" s="61" t="s">
        <v>544</v>
      </c>
      <c r="J9" s="61" t="s">
        <v>114</v>
      </c>
      <c r="K9" s="64">
        <v>20000</v>
      </c>
      <c r="L9" s="61"/>
      <c r="M9" s="65" t="s">
        <v>540</v>
      </c>
      <c r="N9" s="61"/>
      <c r="O9" s="61"/>
      <c r="P9" s="61"/>
      <c r="Q9" s="61"/>
      <c r="R9" s="61">
        <v>92</v>
      </c>
      <c r="S9" s="66" t="s">
        <v>407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537</v>
      </c>
      <c r="B10" s="62">
        <v>39363</v>
      </c>
      <c r="C10" s="63" t="s">
        <v>545</v>
      </c>
      <c r="D10" s="67">
        <v>1000</v>
      </c>
      <c r="E10" s="67"/>
      <c r="F10" s="61" t="str">
        <f t="shared" si="0"/>
        <v>借</v>
      </c>
      <c r="G10" s="64">
        <f>SUM(D$6:E10)</f>
        <v>112050</v>
      </c>
      <c r="H10" s="61"/>
      <c r="I10" s="61" t="s">
        <v>546</v>
      </c>
      <c r="J10" s="61" t="s">
        <v>114</v>
      </c>
      <c r="K10" s="64">
        <v>1000</v>
      </c>
      <c r="L10" s="61"/>
      <c r="M10" s="65" t="s">
        <v>540</v>
      </c>
      <c r="N10" s="61"/>
      <c r="O10" s="61"/>
      <c r="P10" s="61"/>
      <c r="Q10" s="61"/>
      <c r="R10" s="61">
        <v>92</v>
      </c>
      <c r="S10" s="66" t="s">
        <v>407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537</v>
      </c>
      <c r="B11" s="62">
        <v>42307</v>
      </c>
      <c r="C11" s="63" t="s">
        <v>547</v>
      </c>
      <c r="D11" s="67">
        <v>100000</v>
      </c>
      <c r="E11" s="67"/>
      <c r="F11" s="61" t="str">
        <f t="shared" si="0"/>
        <v>借</v>
      </c>
      <c r="G11" s="64">
        <f>SUM(D$6:E11)</f>
        <v>212050</v>
      </c>
      <c r="H11" s="61"/>
      <c r="I11" s="61" t="s">
        <v>548</v>
      </c>
      <c r="J11" s="61" t="s">
        <v>114</v>
      </c>
      <c r="K11" s="64">
        <v>100000</v>
      </c>
      <c r="L11" s="61" t="s">
        <v>549</v>
      </c>
      <c r="M11" s="65" t="s">
        <v>540</v>
      </c>
      <c r="N11" s="61"/>
      <c r="O11" s="61"/>
      <c r="P11" s="61"/>
      <c r="Q11" s="61"/>
      <c r="R11" s="61">
        <v>70</v>
      </c>
      <c r="S11" s="66" t="s">
        <v>407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537</v>
      </c>
      <c r="B12" s="62">
        <v>42734</v>
      </c>
      <c r="C12" s="63" t="s">
        <v>550</v>
      </c>
      <c r="D12" s="67">
        <v>10000</v>
      </c>
      <c r="E12" s="67"/>
      <c r="F12" s="61" t="str">
        <f t="shared" si="0"/>
        <v>借</v>
      </c>
      <c r="G12" s="64">
        <f>SUM(D$6:E12)</f>
        <v>222050</v>
      </c>
      <c r="H12" s="61"/>
      <c r="I12" s="61" t="s">
        <v>551</v>
      </c>
      <c r="J12" s="61" t="s">
        <v>114</v>
      </c>
      <c r="K12" s="64">
        <v>10000</v>
      </c>
      <c r="L12" s="61" t="s">
        <v>549</v>
      </c>
      <c r="M12" s="65" t="s">
        <v>397</v>
      </c>
      <c r="N12" s="61"/>
      <c r="O12" s="61"/>
      <c r="P12" s="61"/>
      <c r="Q12" s="61"/>
      <c r="R12" s="61">
        <v>14626</v>
      </c>
      <c r="S12" s="66" t="s">
        <v>55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537</v>
      </c>
      <c r="B13" s="62">
        <v>42912</v>
      </c>
      <c r="C13" s="63" t="s">
        <v>552</v>
      </c>
      <c r="D13" s="67">
        <v>50000</v>
      </c>
      <c r="E13" s="67"/>
      <c r="F13" s="61" t="str">
        <f t="shared" si="0"/>
        <v>借</v>
      </c>
      <c r="G13" s="64">
        <f>SUM(D$6:E13)</f>
        <v>272050</v>
      </c>
      <c r="H13" s="61"/>
      <c r="I13" s="61" t="s">
        <v>553</v>
      </c>
      <c r="J13" s="61" t="s">
        <v>114</v>
      </c>
      <c r="K13" s="64">
        <v>50000</v>
      </c>
      <c r="L13" s="61"/>
      <c r="M13" s="65" t="s">
        <v>554</v>
      </c>
      <c r="N13" s="61"/>
      <c r="O13" s="61"/>
      <c r="P13" s="61"/>
      <c r="Q13" s="61"/>
      <c r="R13" s="61">
        <v>35394</v>
      </c>
      <c r="S13" s="66" t="s">
        <v>55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537</v>
      </c>
      <c r="B14" s="62">
        <v>44600</v>
      </c>
      <c r="C14" s="63" t="s">
        <v>555</v>
      </c>
      <c r="D14" s="67">
        <v>11000000</v>
      </c>
      <c r="E14" s="67"/>
      <c r="F14" s="61" t="str">
        <f t="shared" si="0"/>
        <v>借</v>
      </c>
      <c r="G14" s="64">
        <f>SUM(D$6:E14)</f>
        <v>11272050</v>
      </c>
      <c r="H14" s="61"/>
      <c r="I14" s="61" t="s">
        <v>556</v>
      </c>
      <c r="J14" s="61" t="s">
        <v>114</v>
      </c>
      <c r="K14" s="64">
        <v>11000000</v>
      </c>
      <c r="L14" s="61" t="s">
        <v>549</v>
      </c>
      <c r="M14" s="65" t="s">
        <v>557</v>
      </c>
      <c r="N14" s="61"/>
      <c r="O14" s="61"/>
      <c r="P14" s="61"/>
      <c r="Q14" s="61"/>
      <c r="R14" s="61">
        <v>265299</v>
      </c>
      <c r="S14" s="66" t="s">
        <v>59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537</v>
      </c>
      <c r="B15" s="62">
        <v>44875</v>
      </c>
      <c r="C15" s="63" t="s">
        <v>558</v>
      </c>
      <c r="D15" s="67">
        <v>11000000</v>
      </c>
      <c r="E15" s="67"/>
      <c r="F15" s="61" t="str">
        <f t="shared" si="0"/>
        <v>借</v>
      </c>
      <c r="G15" s="64">
        <f>SUM(D$6:E15)</f>
        <v>22272050</v>
      </c>
      <c r="H15" s="61"/>
      <c r="I15" s="61" t="s">
        <v>556</v>
      </c>
      <c r="J15" s="61" t="s">
        <v>114</v>
      </c>
      <c r="K15" s="64">
        <v>11000000</v>
      </c>
      <c r="L15" s="61" t="s">
        <v>549</v>
      </c>
      <c r="M15" s="65" t="s">
        <v>557</v>
      </c>
      <c r="N15" s="61"/>
      <c r="O15" s="61"/>
      <c r="P15" s="61"/>
      <c r="Q15" s="61"/>
      <c r="R15" s="61">
        <v>306845</v>
      </c>
      <c r="S15" s="66" t="s">
        <v>59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537</v>
      </c>
      <c r="B16" s="62">
        <v>44904</v>
      </c>
      <c r="C16" s="63" t="s">
        <v>559</v>
      </c>
      <c r="D16" s="67">
        <v>1000000</v>
      </c>
      <c r="E16" s="67"/>
      <c r="F16" s="61" t="str">
        <f t="shared" si="0"/>
        <v>借</v>
      </c>
      <c r="G16" s="64">
        <f>SUM(D$6:E16)</f>
        <v>23272050</v>
      </c>
      <c r="H16" s="61"/>
      <c r="I16" s="61" t="s">
        <v>556</v>
      </c>
      <c r="J16" s="61" t="s">
        <v>114</v>
      </c>
      <c r="K16" s="64">
        <v>1000000</v>
      </c>
      <c r="L16" s="61" t="s">
        <v>549</v>
      </c>
      <c r="M16" s="65" t="s">
        <v>557</v>
      </c>
      <c r="N16" s="61"/>
      <c r="O16" s="61"/>
      <c r="P16" s="61"/>
      <c r="Q16" s="61"/>
      <c r="R16" s="61">
        <v>311548</v>
      </c>
      <c r="S16" s="66" t="s">
        <v>59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537</v>
      </c>
      <c r="B17" s="62">
        <v>44967</v>
      </c>
      <c r="C17" s="63" t="s">
        <v>560</v>
      </c>
      <c r="D17" s="67">
        <v>20000000</v>
      </c>
      <c r="E17" s="67"/>
      <c r="F17" s="61" t="str">
        <f t="shared" si="0"/>
        <v>借</v>
      </c>
      <c r="G17" s="64">
        <f>SUM(D$6:E17)</f>
        <v>43272050</v>
      </c>
      <c r="H17" s="61"/>
      <c r="I17" s="61" t="s">
        <v>556</v>
      </c>
      <c r="J17" s="61" t="s">
        <v>114</v>
      </c>
      <c r="K17" s="64">
        <v>20000000</v>
      </c>
      <c r="L17" s="61" t="s">
        <v>549</v>
      </c>
      <c r="M17" s="65" t="s">
        <v>557</v>
      </c>
      <c r="N17" s="61"/>
      <c r="O17" s="61"/>
      <c r="P17" s="61"/>
      <c r="Q17" s="61"/>
      <c r="R17" s="61">
        <v>320566</v>
      </c>
      <c r="S17" s="66" t="s">
        <v>59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537</v>
      </c>
      <c r="B18" s="62">
        <v>45024</v>
      </c>
      <c r="C18" s="63" t="s">
        <v>575</v>
      </c>
      <c r="D18" s="67">
        <v>6996</v>
      </c>
      <c r="E18" s="67"/>
      <c r="F18" s="61" t="str">
        <f t="shared" si="0"/>
        <v>借</v>
      </c>
      <c r="G18" s="64">
        <f>SUM(D$6:E18)</f>
        <v>43279046</v>
      </c>
      <c r="H18" s="61"/>
      <c r="I18" s="61" t="s">
        <v>576</v>
      </c>
      <c r="J18" s="61" t="s">
        <v>114</v>
      </c>
      <c r="K18" s="64">
        <v>6996</v>
      </c>
      <c r="L18" s="61"/>
      <c r="M18" s="65" t="s">
        <v>224</v>
      </c>
      <c r="N18" s="61"/>
      <c r="O18" s="61"/>
      <c r="P18" s="61"/>
      <c r="Q18" s="61"/>
      <c r="R18" s="61">
        <v>330618</v>
      </c>
      <c r="S18" s="66" t="s">
        <v>421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537</v>
      </c>
      <c r="B19" s="62">
        <v>45024</v>
      </c>
      <c r="C19" s="63" t="s">
        <v>565</v>
      </c>
      <c r="D19" s="67">
        <v>13000</v>
      </c>
      <c r="E19" s="67"/>
      <c r="F19" s="61" t="str">
        <f t="shared" si="0"/>
        <v>借</v>
      </c>
      <c r="G19" s="64">
        <f>SUM(D$6:E19)</f>
        <v>43292046</v>
      </c>
      <c r="H19" s="61"/>
      <c r="I19" s="61" t="s">
        <v>562</v>
      </c>
      <c r="J19" s="61" t="s">
        <v>114</v>
      </c>
      <c r="K19" s="64">
        <v>13000</v>
      </c>
      <c r="L19" s="61"/>
      <c r="M19" s="65" t="s">
        <v>224</v>
      </c>
      <c r="N19" s="61"/>
      <c r="O19" s="61"/>
      <c r="P19" s="61"/>
      <c r="Q19" s="61"/>
      <c r="R19" s="61">
        <v>330618</v>
      </c>
      <c r="S19" s="66" t="s">
        <v>421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537</v>
      </c>
      <c r="B20" s="62">
        <v>45024</v>
      </c>
      <c r="C20" s="63" t="s">
        <v>561</v>
      </c>
      <c r="D20" s="67">
        <v>17000</v>
      </c>
      <c r="E20" s="67"/>
      <c r="F20" s="61" t="str">
        <f t="shared" si="0"/>
        <v>借</v>
      </c>
      <c r="G20" s="64">
        <f>SUM(D$6:E20)</f>
        <v>43309046</v>
      </c>
      <c r="H20" s="61"/>
      <c r="I20" s="61" t="s">
        <v>562</v>
      </c>
      <c r="J20" s="61" t="s">
        <v>114</v>
      </c>
      <c r="K20" s="64">
        <v>17000</v>
      </c>
      <c r="L20" s="61"/>
      <c r="M20" s="65" t="s">
        <v>224</v>
      </c>
      <c r="N20" s="61"/>
      <c r="O20" s="61"/>
      <c r="P20" s="61"/>
      <c r="Q20" s="61"/>
      <c r="R20" s="61">
        <v>330618</v>
      </c>
      <c r="S20" s="66" t="s">
        <v>421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537</v>
      </c>
      <c r="B21" s="62">
        <v>45024</v>
      </c>
      <c r="C21" s="63" t="s">
        <v>563</v>
      </c>
      <c r="D21" s="67">
        <v>24000</v>
      </c>
      <c r="E21" s="67"/>
      <c r="F21" s="61" t="str">
        <f t="shared" si="0"/>
        <v>借</v>
      </c>
      <c r="G21" s="64">
        <f>SUM(D$6:E21)</f>
        <v>43333046</v>
      </c>
      <c r="H21" s="61"/>
      <c r="I21" s="61" t="s">
        <v>564</v>
      </c>
      <c r="J21" s="61" t="s">
        <v>114</v>
      </c>
      <c r="K21" s="64">
        <v>24000</v>
      </c>
      <c r="L21" s="61"/>
      <c r="M21" s="65" t="s">
        <v>224</v>
      </c>
      <c r="N21" s="61"/>
      <c r="O21" s="61"/>
      <c r="P21" s="61"/>
      <c r="Q21" s="61"/>
      <c r="R21" s="61">
        <v>330618</v>
      </c>
      <c r="S21" s="66" t="s">
        <v>421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537</v>
      </c>
      <c r="B22" s="62">
        <v>45024</v>
      </c>
      <c r="C22" s="63" t="s">
        <v>573</v>
      </c>
      <c r="D22" s="67">
        <v>30000</v>
      </c>
      <c r="E22" s="67"/>
      <c r="F22" s="61" t="str">
        <f t="shared" si="0"/>
        <v>借</v>
      </c>
      <c r="G22" s="64">
        <f>SUM(D$6:E22)</f>
        <v>43363046</v>
      </c>
      <c r="H22" s="61"/>
      <c r="I22" s="61" t="s">
        <v>574</v>
      </c>
      <c r="J22" s="61" t="s">
        <v>114</v>
      </c>
      <c r="K22" s="64">
        <v>30000</v>
      </c>
      <c r="L22" s="61"/>
      <c r="M22" s="65" t="s">
        <v>224</v>
      </c>
      <c r="N22" s="61"/>
      <c r="O22" s="61"/>
      <c r="P22" s="61"/>
      <c r="Q22" s="61"/>
      <c r="R22" s="61">
        <v>330618</v>
      </c>
      <c r="S22" s="66" t="s">
        <v>421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537</v>
      </c>
      <c r="B23" s="62">
        <v>45024</v>
      </c>
      <c r="C23" s="63" t="s">
        <v>571</v>
      </c>
      <c r="D23" s="67">
        <v>47000</v>
      </c>
      <c r="E23" s="67"/>
      <c r="F23" s="61" t="str">
        <f t="shared" si="0"/>
        <v>借</v>
      </c>
      <c r="G23" s="64">
        <f>SUM(D$6:E23)</f>
        <v>43410046</v>
      </c>
      <c r="H23" s="61"/>
      <c r="I23" s="61" t="s">
        <v>572</v>
      </c>
      <c r="J23" s="61" t="s">
        <v>114</v>
      </c>
      <c r="K23" s="64">
        <v>47000</v>
      </c>
      <c r="L23" s="61"/>
      <c r="M23" s="65" t="s">
        <v>224</v>
      </c>
      <c r="N23" s="61"/>
      <c r="O23" s="61"/>
      <c r="P23" s="61"/>
      <c r="Q23" s="61"/>
      <c r="R23" s="61">
        <v>330618</v>
      </c>
      <c r="S23" s="66" t="s">
        <v>421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537</v>
      </c>
      <c r="B24" s="62">
        <v>45024</v>
      </c>
      <c r="C24" s="63" t="s">
        <v>570</v>
      </c>
      <c r="D24" s="67">
        <v>60000</v>
      </c>
      <c r="E24" s="67"/>
      <c r="F24" s="61" t="str">
        <f t="shared" si="0"/>
        <v>借</v>
      </c>
      <c r="G24" s="64">
        <f>SUM(D$6:E24)</f>
        <v>43470046</v>
      </c>
      <c r="H24" s="61"/>
      <c r="I24" s="61" t="s">
        <v>562</v>
      </c>
      <c r="J24" s="61" t="s">
        <v>114</v>
      </c>
      <c r="K24" s="64">
        <v>60000</v>
      </c>
      <c r="L24" s="61"/>
      <c r="M24" s="65" t="s">
        <v>224</v>
      </c>
      <c r="N24" s="61"/>
      <c r="O24" s="61"/>
      <c r="P24" s="61"/>
      <c r="Q24" s="61"/>
      <c r="R24" s="61">
        <v>330618</v>
      </c>
      <c r="S24" s="66" t="s">
        <v>421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537</v>
      </c>
      <c r="B25" s="62">
        <v>45024</v>
      </c>
      <c r="C25" s="63" t="s">
        <v>566</v>
      </c>
      <c r="D25" s="67">
        <v>120600</v>
      </c>
      <c r="E25" s="67"/>
      <c r="F25" s="61" t="str">
        <f t="shared" si="0"/>
        <v>借</v>
      </c>
      <c r="G25" s="64">
        <f>SUM(D$6:E25)</f>
        <v>43590646</v>
      </c>
      <c r="H25" s="61"/>
      <c r="I25" s="61" t="s">
        <v>567</v>
      </c>
      <c r="J25" s="61" t="s">
        <v>114</v>
      </c>
      <c r="K25" s="64">
        <v>120600</v>
      </c>
      <c r="L25" s="61"/>
      <c r="M25" s="65" t="s">
        <v>224</v>
      </c>
      <c r="N25" s="61"/>
      <c r="O25" s="61"/>
      <c r="P25" s="61"/>
      <c r="Q25" s="61"/>
      <c r="R25" s="61">
        <v>330618</v>
      </c>
      <c r="S25" s="66" t="s">
        <v>421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537</v>
      </c>
      <c r="B26" s="62">
        <v>45024</v>
      </c>
      <c r="C26" s="63" t="s">
        <v>568</v>
      </c>
      <c r="D26" s="67">
        <v>180000</v>
      </c>
      <c r="E26" s="67"/>
      <c r="F26" s="61" t="str">
        <f t="shared" si="0"/>
        <v>借</v>
      </c>
      <c r="G26" s="64">
        <f>SUM(D$6:E26)</f>
        <v>43770646</v>
      </c>
      <c r="H26" s="61"/>
      <c r="I26" s="61" t="s">
        <v>569</v>
      </c>
      <c r="J26" s="61" t="s">
        <v>114</v>
      </c>
      <c r="K26" s="64">
        <v>180000</v>
      </c>
      <c r="L26" s="61"/>
      <c r="M26" s="65" t="s">
        <v>224</v>
      </c>
      <c r="N26" s="61"/>
      <c r="O26" s="61"/>
      <c r="P26" s="61"/>
      <c r="Q26" s="61"/>
      <c r="R26" s="61">
        <v>330618</v>
      </c>
      <c r="S26" s="66" t="s">
        <v>421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537</v>
      </c>
      <c r="B27" s="62">
        <v>45107</v>
      </c>
      <c r="C27" s="63" t="s">
        <v>585</v>
      </c>
      <c r="D27" s="67">
        <v>400</v>
      </c>
      <c r="E27" s="67"/>
      <c r="F27" s="61" t="str">
        <f t="shared" si="0"/>
        <v>借</v>
      </c>
      <c r="G27" s="64">
        <f>SUM(D$6:E27)</f>
        <v>43771046</v>
      </c>
      <c r="H27" s="61"/>
      <c r="I27" s="61" t="s">
        <v>586</v>
      </c>
      <c r="J27" s="61" t="s">
        <v>114</v>
      </c>
      <c r="K27" s="64">
        <v>400</v>
      </c>
      <c r="L27" s="61"/>
      <c r="M27" s="65" t="s">
        <v>224</v>
      </c>
      <c r="N27" s="61"/>
      <c r="O27" s="61"/>
      <c r="P27" s="61"/>
      <c r="Q27" s="61"/>
      <c r="R27" s="61">
        <v>345944</v>
      </c>
      <c r="S27" s="66" t="s">
        <v>63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537</v>
      </c>
      <c r="B28" s="62">
        <v>45107</v>
      </c>
      <c r="C28" s="63" t="s">
        <v>583</v>
      </c>
      <c r="D28" s="67">
        <v>1000</v>
      </c>
      <c r="E28" s="67"/>
      <c r="F28" s="61" t="str">
        <f t="shared" si="0"/>
        <v>借</v>
      </c>
      <c r="G28" s="64">
        <f>SUM(D$6:E28)</f>
        <v>43772046</v>
      </c>
      <c r="H28" s="61"/>
      <c r="I28" s="61" t="s">
        <v>584</v>
      </c>
      <c r="J28" s="61" t="s">
        <v>114</v>
      </c>
      <c r="K28" s="64">
        <v>1000</v>
      </c>
      <c r="L28" s="61"/>
      <c r="M28" s="65" t="s">
        <v>224</v>
      </c>
      <c r="N28" s="61"/>
      <c r="O28" s="61"/>
      <c r="P28" s="61"/>
      <c r="Q28" s="61"/>
      <c r="R28" s="61">
        <v>345944</v>
      </c>
      <c r="S28" s="66" t="s">
        <v>63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537</v>
      </c>
      <c r="B29" s="62">
        <v>45107</v>
      </c>
      <c r="C29" s="63" t="s">
        <v>581</v>
      </c>
      <c r="D29" s="67">
        <v>1700</v>
      </c>
      <c r="E29" s="67"/>
      <c r="F29" s="61" t="str">
        <f t="shared" si="0"/>
        <v>借</v>
      </c>
      <c r="G29" s="64">
        <f>SUM(D$6:E29)</f>
        <v>43773746</v>
      </c>
      <c r="H29" s="61"/>
      <c r="I29" s="61" t="s">
        <v>582</v>
      </c>
      <c r="J29" s="61" t="s">
        <v>114</v>
      </c>
      <c r="K29" s="64">
        <v>1700</v>
      </c>
      <c r="L29" s="61"/>
      <c r="M29" s="65" t="s">
        <v>224</v>
      </c>
      <c r="N29" s="61"/>
      <c r="O29" s="61"/>
      <c r="P29" s="61"/>
      <c r="Q29" s="61"/>
      <c r="R29" s="61">
        <v>345944</v>
      </c>
      <c r="S29" s="66" t="s">
        <v>63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537</v>
      </c>
      <c r="B30" s="62">
        <v>45107</v>
      </c>
      <c r="C30" s="63" t="s">
        <v>579</v>
      </c>
      <c r="D30" s="67">
        <v>8000</v>
      </c>
      <c r="E30" s="67"/>
      <c r="F30" s="61" t="str">
        <f t="shared" si="0"/>
        <v>借</v>
      </c>
      <c r="G30" s="64">
        <f>SUM(D$6:E30)</f>
        <v>43781746</v>
      </c>
      <c r="H30" s="61"/>
      <c r="I30" s="61" t="s">
        <v>580</v>
      </c>
      <c r="J30" s="61" t="s">
        <v>114</v>
      </c>
      <c r="K30" s="64">
        <v>8000</v>
      </c>
      <c r="L30" s="61"/>
      <c r="M30" s="65" t="s">
        <v>224</v>
      </c>
      <c r="N30" s="61"/>
      <c r="O30" s="61"/>
      <c r="P30" s="61"/>
      <c r="Q30" s="61"/>
      <c r="R30" s="61">
        <v>345944</v>
      </c>
      <c r="S30" s="66" t="s">
        <v>63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537</v>
      </c>
      <c r="B31" s="62">
        <v>45107</v>
      </c>
      <c r="C31" s="63" t="s">
        <v>577</v>
      </c>
      <c r="D31" s="67">
        <v>50000</v>
      </c>
      <c r="E31" s="67"/>
      <c r="F31" s="61" t="str">
        <f t="shared" si="0"/>
        <v>借</v>
      </c>
      <c r="G31" s="64">
        <f>SUM(D$6:E31)</f>
        <v>43831746</v>
      </c>
      <c r="H31" s="61"/>
      <c r="I31" s="61" t="s">
        <v>578</v>
      </c>
      <c r="J31" s="61" t="s">
        <v>114</v>
      </c>
      <c r="K31" s="64">
        <v>50000</v>
      </c>
      <c r="L31" s="61"/>
      <c r="M31" s="65" t="s">
        <v>224</v>
      </c>
      <c r="N31" s="61"/>
      <c r="O31" s="61"/>
      <c r="P31" s="61"/>
      <c r="Q31" s="61"/>
      <c r="R31" s="61">
        <v>345944</v>
      </c>
      <c r="S31" s="66" t="s">
        <v>63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537</v>
      </c>
      <c r="B32" s="62">
        <v>45205</v>
      </c>
      <c r="C32" s="63" t="s">
        <v>587</v>
      </c>
      <c r="D32" s="67">
        <v>15000000</v>
      </c>
      <c r="E32" s="67"/>
      <c r="F32" s="61" t="str">
        <f t="shared" si="0"/>
        <v>借</v>
      </c>
      <c r="G32" s="64">
        <f>SUM(D$6:E32)</f>
        <v>58831746</v>
      </c>
      <c r="H32" s="61"/>
      <c r="I32" s="61" t="s">
        <v>556</v>
      </c>
      <c r="J32" s="61" t="s">
        <v>114</v>
      </c>
      <c r="K32" s="64">
        <v>15000000</v>
      </c>
      <c r="L32" s="61" t="s">
        <v>549</v>
      </c>
      <c r="M32" s="65" t="s">
        <v>557</v>
      </c>
      <c r="N32" s="61"/>
      <c r="O32" s="61"/>
      <c r="P32" s="61"/>
      <c r="Q32" s="61"/>
      <c r="R32" s="61">
        <v>365783</v>
      </c>
      <c r="S32" s="66" t="s">
        <v>59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537</v>
      </c>
      <c r="B33" s="62">
        <v>45210</v>
      </c>
      <c r="C33" s="63" t="s">
        <v>588</v>
      </c>
      <c r="D33" s="67">
        <v>20000000</v>
      </c>
      <c r="E33" s="67"/>
      <c r="F33" s="61" t="str">
        <f t="shared" si="0"/>
        <v>借</v>
      </c>
      <c r="G33" s="64">
        <f>SUM(D$6:E33)</f>
        <v>78831746</v>
      </c>
      <c r="H33" s="61"/>
      <c r="I33" s="61" t="s">
        <v>589</v>
      </c>
      <c r="J33" s="61" t="s">
        <v>114</v>
      </c>
      <c r="K33" s="64">
        <v>20000000</v>
      </c>
      <c r="L33" s="61"/>
      <c r="M33" s="65" t="s">
        <v>590</v>
      </c>
      <c r="N33" s="61"/>
      <c r="O33" s="61"/>
      <c r="P33" s="61"/>
      <c r="Q33" s="61"/>
      <c r="R33" s="61">
        <v>365784</v>
      </c>
      <c r="S33" s="66" t="s">
        <v>59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537</v>
      </c>
      <c r="B34" s="62">
        <v>45268</v>
      </c>
      <c r="C34" s="63" t="s">
        <v>591</v>
      </c>
      <c r="D34" s="67">
        <v>3000000</v>
      </c>
      <c r="E34" s="67"/>
      <c r="F34" s="61" t="str">
        <f t="shared" si="0"/>
        <v>借</v>
      </c>
      <c r="G34" s="64">
        <f>SUM(D$6:E34)</f>
        <v>81831746</v>
      </c>
      <c r="H34" s="61"/>
      <c r="I34" s="61" t="s">
        <v>556</v>
      </c>
      <c r="J34" s="61" t="s">
        <v>114</v>
      </c>
      <c r="K34" s="64">
        <v>3000000</v>
      </c>
      <c r="L34" s="61" t="s">
        <v>549</v>
      </c>
      <c r="M34" s="65" t="s">
        <v>557</v>
      </c>
      <c r="N34" s="61"/>
      <c r="O34" s="61"/>
      <c r="P34" s="61"/>
      <c r="Q34" s="61"/>
      <c r="R34" s="61">
        <v>377303</v>
      </c>
      <c r="S34" s="66" t="s">
        <v>59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537</v>
      </c>
      <c r="B35" s="62">
        <v>45301</v>
      </c>
      <c r="C35" s="63" t="s">
        <v>592</v>
      </c>
      <c r="D35" s="67">
        <v>3000000</v>
      </c>
      <c r="E35" s="67"/>
      <c r="F35" s="61" t="str">
        <f t="shared" si="0"/>
        <v>借</v>
      </c>
      <c r="G35" s="64">
        <f>SUM(D$6:E35)</f>
        <v>84831746</v>
      </c>
      <c r="H35" s="61"/>
      <c r="I35" s="61" t="s">
        <v>556</v>
      </c>
      <c r="J35" s="61" t="s">
        <v>114</v>
      </c>
      <c r="K35" s="64">
        <v>3000000</v>
      </c>
      <c r="L35" s="61" t="s">
        <v>549</v>
      </c>
      <c r="M35" s="65" t="s">
        <v>557</v>
      </c>
      <c r="N35" s="61"/>
      <c r="O35" s="61"/>
      <c r="P35" s="61"/>
      <c r="Q35" s="61"/>
      <c r="R35" s="61">
        <v>383025</v>
      </c>
      <c r="S35" s="66" t="s">
        <v>593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537</v>
      </c>
      <c r="B36" s="62">
        <v>45313</v>
      </c>
      <c r="C36" s="63" t="s">
        <v>594</v>
      </c>
      <c r="D36" s="67">
        <v>147200</v>
      </c>
      <c r="E36" s="67"/>
      <c r="F36" s="61" t="str">
        <f t="shared" si="0"/>
        <v>借</v>
      </c>
      <c r="G36" s="64">
        <f>SUM(D$6:E36)</f>
        <v>84978946</v>
      </c>
      <c r="H36" s="61"/>
      <c r="I36" s="61" t="s">
        <v>595</v>
      </c>
      <c r="J36" s="61" t="s">
        <v>114</v>
      </c>
      <c r="K36" s="64">
        <v>147200</v>
      </c>
      <c r="L36" s="61"/>
      <c r="M36" s="65" t="s">
        <v>275</v>
      </c>
      <c r="N36" s="61"/>
      <c r="O36" s="61"/>
      <c r="P36" s="61"/>
      <c r="Q36" s="61"/>
      <c r="R36" s="61">
        <v>385447</v>
      </c>
      <c r="S36" s="66" t="s">
        <v>63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537</v>
      </c>
      <c r="B37" s="62">
        <v>45328</v>
      </c>
      <c r="C37" s="63" t="s">
        <v>596</v>
      </c>
      <c r="D37" s="67"/>
      <c r="E37" s="67">
        <v>-5000000</v>
      </c>
      <c r="F37" s="61" t="str">
        <f t="shared" si="0"/>
        <v>借</v>
      </c>
      <c r="G37" s="64">
        <f>SUM(D$6:E37)</f>
        <v>79978946</v>
      </c>
      <c r="H37" s="61"/>
      <c r="I37" s="61" t="s">
        <v>597</v>
      </c>
      <c r="J37" s="61" t="s">
        <v>114</v>
      </c>
      <c r="K37" s="64">
        <v>-5000000</v>
      </c>
      <c r="L37" s="61" t="s">
        <v>549</v>
      </c>
      <c r="M37" s="65" t="s">
        <v>557</v>
      </c>
      <c r="N37" s="61"/>
      <c r="O37" s="61"/>
      <c r="P37" s="61"/>
      <c r="Q37" s="61"/>
      <c r="R37" s="61">
        <v>393508</v>
      </c>
      <c r="S37" s="66" t="s">
        <v>593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537</v>
      </c>
      <c r="B38" s="62">
        <v>45359</v>
      </c>
      <c r="C38" s="63" t="s">
        <v>598</v>
      </c>
      <c r="D38" s="67"/>
      <c r="E38" s="67">
        <v>-4000000</v>
      </c>
      <c r="F38" s="61" t="str">
        <f t="shared" si="0"/>
        <v>借</v>
      </c>
      <c r="G38" s="64">
        <f>SUM(D$6:E38)</f>
        <v>75978946</v>
      </c>
      <c r="H38" s="61"/>
      <c r="I38" s="61" t="s">
        <v>597</v>
      </c>
      <c r="J38" s="61" t="s">
        <v>114</v>
      </c>
      <c r="K38" s="64">
        <v>-4000000</v>
      </c>
      <c r="L38" s="61" t="s">
        <v>549</v>
      </c>
      <c r="M38" s="65" t="s">
        <v>557</v>
      </c>
      <c r="N38" s="61"/>
      <c r="O38" s="61"/>
      <c r="P38" s="61"/>
      <c r="Q38" s="61"/>
      <c r="R38" s="61">
        <v>398190</v>
      </c>
      <c r="S38" s="66" t="s">
        <v>593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537</v>
      </c>
      <c r="B39" s="62">
        <v>45376</v>
      </c>
      <c r="C39" s="63" t="s">
        <v>599</v>
      </c>
      <c r="D39" s="67">
        <v>6800</v>
      </c>
      <c r="E39" s="67"/>
      <c r="F39" s="61" t="str">
        <f t="shared" si="0"/>
        <v>借</v>
      </c>
      <c r="G39" s="64">
        <f>SUM(D$6:E39)</f>
        <v>75985746</v>
      </c>
      <c r="H39" s="61"/>
      <c r="I39" s="61" t="s">
        <v>600</v>
      </c>
      <c r="J39" s="61" t="s">
        <v>114</v>
      </c>
      <c r="K39" s="64">
        <v>6800</v>
      </c>
      <c r="L39" s="61"/>
      <c r="M39" s="65" t="s">
        <v>601</v>
      </c>
      <c r="N39" s="61"/>
      <c r="O39" s="61"/>
      <c r="P39" s="61"/>
      <c r="Q39" s="61"/>
      <c r="R39" s="61">
        <v>396082</v>
      </c>
      <c r="S39" s="66" t="s">
        <v>63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537</v>
      </c>
      <c r="B40" s="62">
        <v>45392</v>
      </c>
      <c r="C40" s="63" t="s">
        <v>602</v>
      </c>
      <c r="D40" s="67"/>
      <c r="E40" s="67">
        <v>-5000000</v>
      </c>
      <c r="F40" s="61" t="str">
        <f t="shared" si="0"/>
        <v>借</v>
      </c>
      <c r="G40" s="64">
        <f>SUM(D$6:E40)</f>
        <v>70985746</v>
      </c>
      <c r="H40" s="61"/>
      <c r="I40" s="61" t="s">
        <v>597</v>
      </c>
      <c r="J40" s="61" t="s">
        <v>114</v>
      </c>
      <c r="K40" s="64">
        <v>-5000000</v>
      </c>
      <c r="L40" s="61" t="s">
        <v>549</v>
      </c>
      <c r="M40" s="65" t="s">
        <v>557</v>
      </c>
      <c r="N40" s="61"/>
      <c r="O40" s="61"/>
      <c r="P40" s="61"/>
      <c r="Q40" s="61"/>
      <c r="R40" s="61">
        <v>400554</v>
      </c>
      <c r="S40" s="66" t="s">
        <v>593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537</v>
      </c>
      <c r="B41" s="62">
        <v>45422</v>
      </c>
      <c r="C41" s="63" t="s">
        <v>603</v>
      </c>
      <c r="D41" s="67">
        <v>20000000</v>
      </c>
      <c r="E41" s="67"/>
      <c r="F41" s="61" t="str">
        <f t="shared" si="0"/>
        <v>借</v>
      </c>
      <c r="G41" s="64">
        <f>SUM(D$6:E41)</f>
        <v>90985746</v>
      </c>
      <c r="H41" s="61"/>
      <c r="I41" s="61" t="s">
        <v>556</v>
      </c>
      <c r="J41" s="61" t="s">
        <v>114</v>
      </c>
      <c r="K41" s="64">
        <v>20000000</v>
      </c>
      <c r="L41" s="61" t="s">
        <v>549</v>
      </c>
      <c r="M41" s="65" t="s">
        <v>557</v>
      </c>
      <c r="N41" s="61"/>
      <c r="O41" s="61"/>
      <c r="P41" s="61"/>
      <c r="Q41" s="61"/>
      <c r="R41" s="61">
        <v>411121</v>
      </c>
      <c r="S41" s="66" t="s">
        <v>593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537</v>
      </c>
      <c r="B42" s="62">
        <v>45483</v>
      </c>
      <c r="C42" s="63" t="s">
        <v>604</v>
      </c>
      <c r="D42" s="67"/>
      <c r="E42" s="67">
        <v>-6000000</v>
      </c>
      <c r="F42" s="61" t="str">
        <f t="shared" si="0"/>
        <v>借</v>
      </c>
      <c r="G42" s="64">
        <f>SUM(D$6:E42)</f>
        <v>84985746</v>
      </c>
      <c r="H42" s="61"/>
      <c r="I42" s="61" t="s">
        <v>597</v>
      </c>
      <c r="J42" s="61" t="s">
        <v>114</v>
      </c>
      <c r="K42" s="64">
        <v>-6000000</v>
      </c>
      <c r="L42" s="61" t="s">
        <v>549</v>
      </c>
      <c r="M42" s="65" t="s">
        <v>557</v>
      </c>
      <c r="N42" s="61"/>
      <c r="O42" s="61"/>
      <c r="P42" s="61"/>
      <c r="Q42" s="61"/>
      <c r="R42" s="61">
        <v>418969</v>
      </c>
      <c r="S42" s="66" t="s">
        <v>593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537</v>
      </c>
      <c r="B43" s="62">
        <v>45504</v>
      </c>
      <c r="C43" s="63" t="s">
        <v>609</v>
      </c>
      <c r="D43" s="67">
        <v>85564</v>
      </c>
      <c r="E43" s="67"/>
      <c r="F43" s="61" t="str">
        <f t="shared" si="0"/>
        <v>借</v>
      </c>
      <c r="G43" s="64">
        <f>SUM(D$6:E43)</f>
        <v>85071310</v>
      </c>
      <c r="H43" s="61" t="s">
        <v>610</v>
      </c>
      <c r="I43" s="61" t="s">
        <v>607</v>
      </c>
      <c r="J43" s="61" t="s">
        <v>114</v>
      </c>
      <c r="K43" s="64">
        <v>85564</v>
      </c>
      <c r="L43" s="61"/>
      <c r="M43" s="65" t="s">
        <v>590</v>
      </c>
      <c r="N43" s="61"/>
      <c r="O43" s="61"/>
      <c r="P43" s="61"/>
      <c r="Q43" s="61"/>
      <c r="R43" s="61">
        <v>430787</v>
      </c>
      <c r="S43" s="66" t="s">
        <v>608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537</v>
      </c>
      <c r="B44" s="62">
        <v>45504</v>
      </c>
      <c r="C44" s="63" t="s">
        <v>605</v>
      </c>
      <c r="D44" s="67">
        <v>2995565</v>
      </c>
      <c r="E44" s="67"/>
      <c r="F44" s="61" t="str">
        <f t="shared" si="0"/>
        <v>借</v>
      </c>
      <c r="G44" s="64">
        <f>SUM(D$6:E44)</f>
        <v>88066875</v>
      </c>
      <c r="H44" s="61" t="s">
        <v>606</v>
      </c>
      <c r="I44" s="61" t="s">
        <v>607</v>
      </c>
      <c r="J44" s="61" t="s">
        <v>114</v>
      </c>
      <c r="K44" s="64">
        <v>2995565</v>
      </c>
      <c r="L44" s="61"/>
      <c r="M44" s="65" t="s">
        <v>590</v>
      </c>
      <c r="N44" s="61"/>
      <c r="O44" s="61"/>
      <c r="P44" s="61"/>
      <c r="Q44" s="61"/>
      <c r="R44" s="61">
        <v>430787</v>
      </c>
      <c r="S44" s="66" t="s">
        <v>608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537</v>
      </c>
      <c r="B45" s="62">
        <v>45513</v>
      </c>
      <c r="C45" s="63" t="s">
        <v>611</v>
      </c>
      <c r="D45" s="67">
        <v>20000000</v>
      </c>
      <c r="E45" s="67"/>
      <c r="F45" s="61" t="str">
        <f t="shared" si="0"/>
        <v>借</v>
      </c>
      <c r="G45" s="64">
        <f>SUM(D$6:E45)</f>
        <v>108066875</v>
      </c>
      <c r="H45" s="61"/>
      <c r="I45" s="61" t="s">
        <v>556</v>
      </c>
      <c r="J45" s="61" t="s">
        <v>114</v>
      </c>
      <c r="K45" s="64">
        <v>20000000</v>
      </c>
      <c r="L45" s="61" t="s">
        <v>549</v>
      </c>
      <c r="M45" s="65" t="s">
        <v>557</v>
      </c>
      <c r="N45" s="61"/>
      <c r="O45" s="61"/>
      <c r="P45" s="61"/>
      <c r="Q45" s="61"/>
      <c r="R45" s="61">
        <v>424981</v>
      </c>
      <c r="S45" s="66" t="s">
        <v>593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537</v>
      </c>
      <c r="B46" s="62">
        <v>45534</v>
      </c>
      <c r="C46" s="63" t="s">
        <v>614</v>
      </c>
      <c r="D46" s="67">
        <v>104678</v>
      </c>
      <c r="E46" s="67"/>
      <c r="F46" s="61" t="str">
        <f t="shared" si="0"/>
        <v>借</v>
      </c>
      <c r="G46" s="64">
        <f>SUM(D$6:E46)</f>
        <v>108171553</v>
      </c>
      <c r="H46" s="61" t="s">
        <v>606</v>
      </c>
      <c r="I46" s="61" t="s">
        <v>607</v>
      </c>
      <c r="J46" s="61" t="s">
        <v>114</v>
      </c>
      <c r="K46" s="64">
        <v>104678</v>
      </c>
      <c r="L46" s="61"/>
      <c r="M46" s="65" t="s">
        <v>590</v>
      </c>
      <c r="N46" s="61"/>
      <c r="O46" s="61"/>
      <c r="P46" s="61"/>
      <c r="Q46" s="61"/>
      <c r="R46" s="61">
        <v>430788</v>
      </c>
      <c r="S46" s="66" t="s">
        <v>608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537</v>
      </c>
      <c r="B47" s="62">
        <v>45534</v>
      </c>
      <c r="C47" s="63" t="s">
        <v>615</v>
      </c>
      <c r="D47" s="67">
        <v>275876</v>
      </c>
      <c r="E47" s="67"/>
      <c r="F47" s="61" t="str">
        <f t="shared" si="0"/>
        <v>借</v>
      </c>
      <c r="G47" s="64">
        <f>SUM(D$6:E47)</f>
        <v>108447429</v>
      </c>
      <c r="H47" s="61" t="s">
        <v>610</v>
      </c>
      <c r="I47" s="61" t="s">
        <v>607</v>
      </c>
      <c r="J47" s="61" t="s">
        <v>114</v>
      </c>
      <c r="K47" s="64">
        <v>275876</v>
      </c>
      <c r="L47" s="61"/>
      <c r="M47" s="65" t="s">
        <v>590</v>
      </c>
      <c r="N47" s="61"/>
      <c r="O47" s="61"/>
      <c r="P47" s="61"/>
      <c r="Q47" s="61"/>
      <c r="R47" s="61">
        <v>430788</v>
      </c>
      <c r="S47" s="66" t="s">
        <v>608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537</v>
      </c>
      <c r="B48" s="62">
        <v>45537</v>
      </c>
      <c r="C48" s="63" t="s">
        <v>616</v>
      </c>
      <c r="D48" s="67">
        <v>5000</v>
      </c>
      <c r="E48" s="67"/>
      <c r="F48" s="61" t="str">
        <f t="shared" si="0"/>
        <v>借</v>
      </c>
      <c r="G48" s="64">
        <f>SUM(D$6:E48)</f>
        <v>108452429</v>
      </c>
      <c r="H48" s="61" t="s">
        <v>617</v>
      </c>
      <c r="I48" s="61" t="s">
        <v>618</v>
      </c>
      <c r="J48" s="61" t="s">
        <v>114</v>
      </c>
      <c r="K48" s="64">
        <v>5000</v>
      </c>
      <c r="L48" s="61"/>
      <c r="M48" s="65" t="s">
        <v>224</v>
      </c>
      <c r="N48" s="61"/>
      <c r="O48" s="61"/>
      <c r="P48" s="61"/>
      <c r="Q48" s="61"/>
      <c r="R48" s="61">
        <v>431145</v>
      </c>
      <c r="S48" s="66" t="s">
        <v>63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537</v>
      </c>
      <c r="B49" s="62">
        <v>45538</v>
      </c>
      <c r="C49" s="63" t="s">
        <v>619</v>
      </c>
      <c r="D49" s="67">
        <v>151233</v>
      </c>
      <c r="E49" s="67"/>
      <c r="F49" s="61" t="str">
        <f t="shared" si="0"/>
        <v>借</v>
      </c>
      <c r="G49" s="64">
        <f>SUM(D$6:E49)</f>
        <v>108603662</v>
      </c>
      <c r="H49" s="61" t="s">
        <v>606</v>
      </c>
      <c r="I49" s="61" t="s">
        <v>620</v>
      </c>
      <c r="J49" s="61" t="s">
        <v>114</v>
      </c>
      <c r="K49" s="64">
        <v>151233</v>
      </c>
      <c r="L49" s="61"/>
      <c r="M49" s="65" t="s">
        <v>590</v>
      </c>
      <c r="N49" s="61"/>
      <c r="O49" s="61"/>
      <c r="P49" s="61"/>
      <c r="Q49" s="61"/>
      <c r="R49" s="61">
        <v>433482</v>
      </c>
      <c r="S49" s="66" t="s">
        <v>608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537</v>
      </c>
      <c r="B50" s="62">
        <v>45539</v>
      </c>
      <c r="C50" s="63" t="s">
        <v>621</v>
      </c>
      <c r="D50" s="67">
        <v>151233</v>
      </c>
      <c r="E50" s="67"/>
      <c r="F50" s="61" t="str">
        <f t="shared" si="0"/>
        <v>借</v>
      </c>
      <c r="G50" s="64">
        <f>SUM(D$6:E50)</f>
        <v>108754895</v>
      </c>
      <c r="H50" s="61" t="s">
        <v>606</v>
      </c>
      <c r="I50" s="61" t="s">
        <v>620</v>
      </c>
      <c r="J50" s="61" t="s">
        <v>114</v>
      </c>
      <c r="K50" s="64">
        <v>151233</v>
      </c>
      <c r="L50" s="61"/>
      <c r="M50" s="65" t="s">
        <v>590</v>
      </c>
      <c r="N50" s="61"/>
      <c r="O50" s="61"/>
      <c r="P50" s="61"/>
      <c r="Q50" s="61"/>
      <c r="R50" s="61">
        <v>433483</v>
      </c>
      <c r="S50" s="66" t="s">
        <v>608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537</v>
      </c>
      <c r="B51" s="62">
        <v>45544</v>
      </c>
      <c r="C51" s="63" t="s">
        <v>622</v>
      </c>
      <c r="D51" s="67">
        <v>18000000</v>
      </c>
      <c r="E51" s="67"/>
      <c r="F51" s="61" t="str">
        <f t="shared" si="0"/>
        <v>借</v>
      </c>
      <c r="G51" s="64">
        <f>SUM(D$6:E51)</f>
        <v>126754895</v>
      </c>
      <c r="H51" s="61"/>
      <c r="I51" s="61" t="s">
        <v>556</v>
      </c>
      <c r="J51" s="61" t="s">
        <v>114</v>
      </c>
      <c r="K51" s="64">
        <v>18000000</v>
      </c>
      <c r="L51" s="61" t="s">
        <v>549</v>
      </c>
      <c r="M51" s="65" t="s">
        <v>557</v>
      </c>
      <c r="N51" s="61"/>
      <c r="O51" s="61"/>
      <c r="P51" s="61"/>
      <c r="Q51" s="61"/>
      <c r="R51" s="61">
        <v>430802</v>
      </c>
      <c r="S51" s="66" t="s">
        <v>593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537</v>
      </c>
      <c r="B52" s="62">
        <v>45546</v>
      </c>
      <c r="C52" s="63" t="s">
        <v>624</v>
      </c>
      <c r="D52" s="67"/>
      <c r="E52" s="67">
        <v>-122877</v>
      </c>
      <c r="F52" s="61" t="str">
        <f t="shared" si="0"/>
        <v>借</v>
      </c>
      <c r="G52" s="64">
        <f>SUM(D$6:E52)</f>
        <v>126632018</v>
      </c>
      <c r="H52" s="61" t="s">
        <v>606</v>
      </c>
      <c r="I52" s="61" t="s">
        <v>625</v>
      </c>
      <c r="J52" s="61" t="s">
        <v>114</v>
      </c>
      <c r="K52" s="64">
        <v>-122877</v>
      </c>
      <c r="L52" s="61"/>
      <c r="M52" s="65" t="s">
        <v>590</v>
      </c>
      <c r="N52" s="61"/>
      <c r="O52" s="61"/>
      <c r="P52" s="61"/>
      <c r="Q52" s="61"/>
      <c r="R52" s="61">
        <v>430808</v>
      </c>
      <c r="S52" s="66" t="s">
        <v>608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537</v>
      </c>
      <c r="B53" s="62">
        <v>45546</v>
      </c>
      <c r="C53" s="63" t="s">
        <v>623</v>
      </c>
      <c r="D53" s="67">
        <v>113425</v>
      </c>
      <c r="E53" s="67"/>
      <c r="F53" s="61" t="str">
        <f t="shared" si="0"/>
        <v>借</v>
      </c>
      <c r="G53" s="64">
        <f>SUM(D$6:E53)</f>
        <v>126745443</v>
      </c>
      <c r="H53" s="61" t="s">
        <v>610</v>
      </c>
      <c r="I53" s="61" t="s">
        <v>620</v>
      </c>
      <c r="J53" s="61" t="s">
        <v>114</v>
      </c>
      <c r="K53" s="64">
        <v>113425</v>
      </c>
      <c r="L53" s="61"/>
      <c r="M53" s="65" t="s">
        <v>590</v>
      </c>
      <c r="N53" s="61"/>
      <c r="O53" s="61"/>
      <c r="P53" s="61"/>
      <c r="Q53" s="61"/>
      <c r="R53" s="61">
        <v>430808</v>
      </c>
      <c r="S53" s="66" t="s">
        <v>608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537</v>
      </c>
      <c r="B54" s="62">
        <v>45547</v>
      </c>
      <c r="C54" s="63" t="s">
        <v>626</v>
      </c>
      <c r="D54" s="67">
        <v>75616</v>
      </c>
      <c r="E54" s="67"/>
      <c r="F54" s="61" t="str">
        <f t="shared" si="0"/>
        <v>借</v>
      </c>
      <c r="G54" s="64">
        <f>SUM(D$6:E54)</f>
        <v>126821059</v>
      </c>
      <c r="H54" s="61" t="s">
        <v>610</v>
      </c>
      <c r="I54" s="61" t="s">
        <v>620</v>
      </c>
      <c r="J54" s="61" t="s">
        <v>114</v>
      </c>
      <c r="K54" s="64">
        <v>75616</v>
      </c>
      <c r="L54" s="61"/>
      <c r="M54" s="65" t="s">
        <v>590</v>
      </c>
      <c r="N54" s="61"/>
      <c r="O54" s="61"/>
      <c r="P54" s="61"/>
      <c r="Q54" s="61"/>
      <c r="R54" s="61">
        <v>431067</v>
      </c>
      <c r="S54" s="66" t="s">
        <v>608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537</v>
      </c>
      <c r="B55" s="62">
        <v>45553</v>
      </c>
      <c r="C55" s="63" t="s">
        <v>627</v>
      </c>
      <c r="D55" s="67">
        <v>151233</v>
      </c>
      <c r="E55" s="67"/>
      <c r="F55" s="61" t="str">
        <f t="shared" si="0"/>
        <v>借</v>
      </c>
      <c r="G55" s="64">
        <f>SUM(D$6:E55)</f>
        <v>126972292</v>
      </c>
      <c r="H55" s="61" t="s">
        <v>606</v>
      </c>
      <c r="I55" s="61" t="s">
        <v>620</v>
      </c>
      <c r="J55" s="61" t="s">
        <v>114</v>
      </c>
      <c r="K55" s="64">
        <v>151233</v>
      </c>
      <c r="L55" s="61"/>
      <c r="M55" s="65" t="s">
        <v>590</v>
      </c>
      <c r="N55" s="61"/>
      <c r="O55" s="61"/>
      <c r="P55" s="61"/>
      <c r="Q55" s="61"/>
      <c r="R55" s="61">
        <v>431820</v>
      </c>
      <c r="S55" s="66" t="s">
        <v>608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537</v>
      </c>
      <c r="B56" s="62">
        <v>45553</v>
      </c>
      <c r="C56" s="63" t="s">
        <v>628</v>
      </c>
      <c r="D56" s="67">
        <v>176438</v>
      </c>
      <c r="E56" s="67"/>
      <c r="F56" s="61" t="str">
        <f t="shared" si="0"/>
        <v>借</v>
      </c>
      <c r="G56" s="64">
        <f>SUM(D$6:E56)</f>
        <v>127148730</v>
      </c>
      <c r="H56" s="61" t="s">
        <v>606</v>
      </c>
      <c r="I56" s="61" t="s">
        <v>620</v>
      </c>
      <c r="J56" s="61" t="s">
        <v>114</v>
      </c>
      <c r="K56" s="64">
        <v>176438</v>
      </c>
      <c r="L56" s="61"/>
      <c r="M56" s="65" t="s">
        <v>590</v>
      </c>
      <c r="N56" s="61"/>
      <c r="O56" s="61"/>
      <c r="P56" s="61"/>
      <c r="Q56" s="61"/>
      <c r="R56" s="61">
        <v>431820</v>
      </c>
      <c r="S56" s="66" t="s">
        <v>608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537</v>
      </c>
      <c r="B57" s="62">
        <v>45554</v>
      </c>
      <c r="C57" s="63" t="s">
        <v>629</v>
      </c>
      <c r="D57" s="67"/>
      <c r="E57" s="67">
        <v>-139261</v>
      </c>
      <c r="F57" s="61" t="str">
        <f t="shared" si="0"/>
        <v>借</v>
      </c>
      <c r="G57" s="64">
        <f>SUM(D$6:E57)</f>
        <v>127009469</v>
      </c>
      <c r="H57" s="61" t="s">
        <v>606</v>
      </c>
      <c r="I57" s="61" t="s">
        <v>625</v>
      </c>
      <c r="J57" s="61" t="s">
        <v>114</v>
      </c>
      <c r="K57" s="64">
        <v>-139261</v>
      </c>
      <c r="L57" s="61"/>
      <c r="M57" s="65" t="s">
        <v>590</v>
      </c>
      <c r="N57" s="61"/>
      <c r="O57" s="61"/>
      <c r="P57" s="61"/>
      <c r="Q57" s="61"/>
      <c r="R57" s="61">
        <v>432047</v>
      </c>
      <c r="S57" s="66" t="s">
        <v>608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537</v>
      </c>
      <c r="B58" s="62">
        <v>45554</v>
      </c>
      <c r="C58" s="63" t="s">
        <v>630</v>
      </c>
      <c r="D58" s="67"/>
      <c r="E58" s="67">
        <v>-135165</v>
      </c>
      <c r="F58" s="61" t="str">
        <f t="shared" si="0"/>
        <v>借</v>
      </c>
      <c r="G58" s="64">
        <f>SUM(D$6:E58)</f>
        <v>126874304</v>
      </c>
      <c r="H58" s="61" t="s">
        <v>610</v>
      </c>
      <c r="I58" s="61" t="s">
        <v>625</v>
      </c>
      <c r="J58" s="61" t="s">
        <v>114</v>
      </c>
      <c r="K58" s="64">
        <v>-135165</v>
      </c>
      <c r="L58" s="61"/>
      <c r="M58" s="65" t="s">
        <v>590</v>
      </c>
      <c r="N58" s="61"/>
      <c r="O58" s="61"/>
      <c r="P58" s="61"/>
      <c r="Q58" s="61"/>
      <c r="R58" s="61">
        <v>432047</v>
      </c>
      <c r="S58" s="66" t="s">
        <v>608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537</v>
      </c>
      <c r="B59" s="62">
        <v>45555</v>
      </c>
      <c r="C59" s="63" t="s">
        <v>631</v>
      </c>
      <c r="D59" s="67"/>
      <c r="E59" s="67">
        <v>-262137</v>
      </c>
      <c r="F59" s="61" t="str">
        <f t="shared" si="0"/>
        <v>借</v>
      </c>
      <c r="G59" s="64">
        <f>SUM(D$6:E59)</f>
        <v>126612167</v>
      </c>
      <c r="H59" s="61" t="s">
        <v>610</v>
      </c>
      <c r="I59" s="61" t="s">
        <v>625</v>
      </c>
      <c r="J59" s="61" t="s">
        <v>114</v>
      </c>
      <c r="K59" s="64">
        <v>-262137</v>
      </c>
      <c r="L59" s="61"/>
      <c r="M59" s="65" t="s">
        <v>590</v>
      </c>
      <c r="N59" s="61"/>
      <c r="O59" s="61"/>
      <c r="P59" s="61"/>
      <c r="Q59" s="61"/>
      <c r="R59" s="61">
        <v>432202</v>
      </c>
      <c r="S59" s="66" t="s">
        <v>608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537</v>
      </c>
      <c r="B60" s="62">
        <v>45558</v>
      </c>
      <c r="C60" s="63" t="s">
        <v>632</v>
      </c>
      <c r="D60" s="67"/>
      <c r="E60" s="67">
        <v>-146362</v>
      </c>
      <c r="F60" s="61" t="str">
        <f t="shared" si="0"/>
        <v>借</v>
      </c>
      <c r="G60" s="64">
        <f>SUM(D$6:E60)</f>
        <v>126465805</v>
      </c>
      <c r="H60" s="61" t="s">
        <v>606</v>
      </c>
      <c r="I60" s="61" t="s">
        <v>625</v>
      </c>
      <c r="J60" s="61" t="s">
        <v>114</v>
      </c>
      <c r="K60" s="64">
        <v>-146362</v>
      </c>
      <c r="L60" s="61"/>
      <c r="M60" s="65" t="s">
        <v>590</v>
      </c>
      <c r="N60" s="61"/>
      <c r="O60" s="61"/>
      <c r="P60" s="61"/>
      <c r="Q60" s="61"/>
      <c r="R60" s="61">
        <v>432362</v>
      </c>
      <c r="S60" s="66" t="s">
        <v>608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537</v>
      </c>
      <c r="B61" s="62">
        <v>45558</v>
      </c>
      <c r="C61" s="63" t="s">
        <v>633</v>
      </c>
      <c r="D61" s="67"/>
      <c r="E61" s="67">
        <v>-146362</v>
      </c>
      <c r="F61" s="61" t="str">
        <f t="shared" si="0"/>
        <v>借</v>
      </c>
      <c r="G61" s="64">
        <f>SUM(D$6:E61)</f>
        <v>126319443</v>
      </c>
      <c r="H61" s="61" t="s">
        <v>610</v>
      </c>
      <c r="I61" s="61" t="s">
        <v>625</v>
      </c>
      <c r="J61" s="61" t="s">
        <v>114</v>
      </c>
      <c r="K61" s="64">
        <v>-146362</v>
      </c>
      <c r="L61" s="61"/>
      <c r="M61" s="65" t="s">
        <v>590</v>
      </c>
      <c r="N61" s="61"/>
      <c r="O61" s="61"/>
      <c r="P61" s="61"/>
      <c r="Q61" s="61"/>
      <c r="R61" s="61">
        <v>432362</v>
      </c>
      <c r="S61" s="66" t="s">
        <v>608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537</v>
      </c>
      <c r="B62" s="62">
        <v>45559</v>
      </c>
      <c r="C62" s="63" t="s">
        <v>634</v>
      </c>
      <c r="D62" s="67"/>
      <c r="E62" s="67">
        <v>-110708</v>
      </c>
      <c r="F62" s="61" t="str">
        <f t="shared" si="0"/>
        <v>借</v>
      </c>
      <c r="G62" s="64">
        <f>SUM(D$6:E62)</f>
        <v>126208735</v>
      </c>
      <c r="H62" s="61" t="s">
        <v>610</v>
      </c>
      <c r="I62" s="61" t="s">
        <v>625</v>
      </c>
      <c r="J62" s="61" t="s">
        <v>114</v>
      </c>
      <c r="K62" s="64">
        <v>-110708</v>
      </c>
      <c r="L62" s="61"/>
      <c r="M62" s="65" t="s">
        <v>590</v>
      </c>
      <c r="N62" s="61"/>
      <c r="O62" s="61"/>
      <c r="P62" s="61"/>
      <c r="Q62" s="61"/>
      <c r="R62" s="61">
        <v>434051</v>
      </c>
      <c r="S62" s="66" t="s">
        <v>608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537</v>
      </c>
      <c r="B63" s="62">
        <v>45559</v>
      </c>
      <c r="C63" s="63" t="s">
        <v>636</v>
      </c>
      <c r="D63" s="67">
        <v>210604</v>
      </c>
      <c r="E63" s="67"/>
      <c r="F63" s="61" t="str">
        <f t="shared" si="0"/>
        <v>借</v>
      </c>
      <c r="G63" s="64">
        <f>SUM(D$6:E63)</f>
        <v>126419339</v>
      </c>
      <c r="H63" s="61" t="s">
        <v>606</v>
      </c>
      <c r="I63" s="61" t="s">
        <v>620</v>
      </c>
      <c r="J63" s="61" t="s">
        <v>114</v>
      </c>
      <c r="K63" s="64">
        <v>210604</v>
      </c>
      <c r="L63" s="61"/>
      <c r="M63" s="65" t="s">
        <v>590</v>
      </c>
      <c r="N63" s="61"/>
      <c r="O63" s="61"/>
      <c r="P63" s="61"/>
      <c r="Q63" s="61"/>
      <c r="R63" s="61">
        <v>434051</v>
      </c>
      <c r="S63" s="66" t="s">
        <v>608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537</v>
      </c>
      <c r="B64" s="62">
        <v>45559</v>
      </c>
      <c r="C64" s="63" t="s">
        <v>635</v>
      </c>
      <c r="D64" s="67">
        <v>320387</v>
      </c>
      <c r="E64" s="67"/>
      <c r="F64" s="61" t="str">
        <f t="shared" si="0"/>
        <v>借</v>
      </c>
      <c r="G64" s="64">
        <f>SUM(D$6:E64)</f>
        <v>126739726</v>
      </c>
      <c r="H64" s="61" t="s">
        <v>606</v>
      </c>
      <c r="I64" s="61" t="s">
        <v>620</v>
      </c>
      <c r="J64" s="61" t="s">
        <v>114</v>
      </c>
      <c r="K64" s="64">
        <v>320387</v>
      </c>
      <c r="L64" s="61"/>
      <c r="M64" s="65" t="s">
        <v>590</v>
      </c>
      <c r="N64" s="61"/>
      <c r="O64" s="61"/>
      <c r="P64" s="61"/>
      <c r="Q64" s="61"/>
      <c r="R64" s="61">
        <v>434051</v>
      </c>
      <c r="S64" s="66" t="s">
        <v>608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537</v>
      </c>
      <c r="B65" s="62">
        <v>45565</v>
      </c>
      <c r="C65" s="63" t="s">
        <v>641</v>
      </c>
      <c r="D65" s="67"/>
      <c r="E65" s="67">
        <v>-9682</v>
      </c>
      <c r="F65" s="61" t="str">
        <f t="shared" si="0"/>
        <v>借</v>
      </c>
      <c r="G65" s="64">
        <f>SUM(D$6:E65)</f>
        <v>126730044</v>
      </c>
      <c r="H65" s="61" t="s">
        <v>610</v>
      </c>
      <c r="I65" s="61" t="s">
        <v>640</v>
      </c>
      <c r="J65" s="61" t="s">
        <v>114</v>
      </c>
      <c r="K65" s="64">
        <v>-9682</v>
      </c>
      <c r="L65" s="61"/>
      <c r="M65" s="65" t="s">
        <v>590</v>
      </c>
      <c r="N65" s="61"/>
      <c r="O65" s="61"/>
      <c r="P65" s="61"/>
      <c r="Q65" s="61"/>
      <c r="R65" s="61">
        <v>435760</v>
      </c>
      <c r="S65" s="66" t="s">
        <v>608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537</v>
      </c>
      <c r="B66" s="62">
        <v>45565</v>
      </c>
      <c r="C66" s="63" t="s">
        <v>639</v>
      </c>
      <c r="D66" s="67"/>
      <c r="E66" s="67">
        <v>-5142</v>
      </c>
      <c r="F66" s="61" t="str">
        <f t="shared" si="0"/>
        <v>借</v>
      </c>
      <c r="G66" s="64">
        <f>SUM(D$6:E66)</f>
        <v>126724902</v>
      </c>
      <c r="H66" s="61" t="s">
        <v>606</v>
      </c>
      <c r="I66" s="61" t="s">
        <v>640</v>
      </c>
      <c r="J66" s="61" t="s">
        <v>114</v>
      </c>
      <c r="K66" s="64">
        <v>-5142</v>
      </c>
      <c r="L66" s="61"/>
      <c r="M66" s="65" t="s">
        <v>590</v>
      </c>
      <c r="N66" s="61"/>
      <c r="O66" s="61"/>
      <c r="P66" s="61"/>
      <c r="Q66" s="61"/>
      <c r="R66" s="61">
        <v>435760</v>
      </c>
      <c r="S66" s="66" t="s">
        <v>608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537</v>
      </c>
      <c r="B67" s="62">
        <v>45565</v>
      </c>
      <c r="C67" s="63" t="s">
        <v>637</v>
      </c>
      <c r="D67" s="67">
        <v>233326</v>
      </c>
      <c r="E67" s="67"/>
      <c r="F67" s="61" t="str">
        <f t="shared" si="0"/>
        <v>借</v>
      </c>
      <c r="G67" s="64">
        <f>SUM(D$6:E67)</f>
        <v>126958228</v>
      </c>
      <c r="H67" s="61" t="s">
        <v>610</v>
      </c>
      <c r="I67" s="61" t="s">
        <v>620</v>
      </c>
      <c r="J67" s="61" t="s">
        <v>114</v>
      </c>
      <c r="K67" s="64">
        <v>233326</v>
      </c>
      <c r="L67" s="61"/>
      <c r="M67" s="65" t="s">
        <v>590</v>
      </c>
      <c r="N67" s="61"/>
      <c r="O67" s="61"/>
      <c r="P67" s="61"/>
      <c r="Q67" s="61"/>
      <c r="R67" s="61">
        <v>434101</v>
      </c>
      <c r="S67" s="66" t="s">
        <v>608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537</v>
      </c>
      <c r="B68" s="62">
        <v>45569</v>
      </c>
      <c r="C68" s="63" t="s">
        <v>642</v>
      </c>
      <c r="D68" s="67">
        <v>216513</v>
      </c>
      <c r="E68" s="67"/>
      <c r="F68" s="61" t="str">
        <f t="shared" si="0"/>
        <v>借</v>
      </c>
      <c r="G68" s="64">
        <f>SUM(D$6:E68)</f>
        <v>127174741</v>
      </c>
      <c r="H68" s="61" t="s">
        <v>610</v>
      </c>
      <c r="I68" s="61" t="s">
        <v>620</v>
      </c>
      <c r="J68" s="61" t="s">
        <v>114</v>
      </c>
      <c r="K68" s="64">
        <v>216513</v>
      </c>
      <c r="L68" s="61"/>
      <c r="M68" s="65" t="s">
        <v>590</v>
      </c>
      <c r="N68" s="61"/>
      <c r="O68" s="61"/>
      <c r="P68" s="61"/>
      <c r="Q68" s="61"/>
      <c r="R68" s="61">
        <v>436228</v>
      </c>
      <c r="S68" s="66" t="s">
        <v>608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537</v>
      </c>
      <c r="B69" s="62">
        <v>45572</v>
      </c>
      <c r="C69" s="63" t="s">
        <v>643</v>
      </c>
      <c r="D69" s="67">
        <v>147423</v>
      </c>
      <c r="E69" s="67"/>
      <c r="F69" s="61" t="str">
        <f t="shared" si="0"/>
        <v>借</v>
      </c>
      <c r="G69" s="64">
        <f>SUM(D$6:E69)</f>
        <v>127322164</v>
      </c>
      <c r="H69" s="61" t="s">
        <v>610</v>
      </c>
      <c r="I69" s="61" t="s">
        <v>620</v>
      </c>
      <c r="J69" s="61" t="s">
        <v>114</v>
      </c>
      <c r="K69" s="64">
        <v>147423</v>
      </c>
      <c r="L69" s="61"/>
      <c r="M69" s="65" t="s">
        <v>590</v>
      </c>
      <c r="N69" s="61"/>
      <c r="O69" s="61"/>
      <c r="P69" s="61"/>
      <c r="Q69" s="61"/>
      <c r="R69" s="61">
        <v>436225</v>
      </c>
      <c r="S69" s="66" t="s">
        <v>608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537</v>
      </c>
      <c r="B70" s="62">
        <v>45573</v>
      </c>
      <c r="C70" s="63" t="s">
        <v>644</v>
      </c>
      <c r="D70" s="67">
        <v>348264</v>
      </c>
      <c r="E70" s="67"/>
      <c r="F70" s="61" t="str">
        <f t="shared" si="0"/>
        <v>借</v>
      </c>
      <c r="G70" s="64">
        <f>SUM(D$6:E70)</f>
        <v>127670428</v>
      </c>
      <c r="H70" s="61" t="s">
        <v>610</v>
      </c>
      <c r="I70" s="61" t="s">
        <v>620</v>
      </c>
      <c r="J70" s="61" t="s">
        <v>114</v>
      </c>
      <c r="K70" s="64">
        <v>348264</v>
      </c>
      <c r="L70" s="61"/>
      <c r="M70" s="65" t="s">
        <v>590</v>
      </c>
      <c r="N70" s="61"/>
      <c r="O70" s="61"/>
      <c r="P70" s="61"/>
      <c r="Q70" s="61"/>
      <c r="R70" s="61">
        <v>436226</v>
      </c>
      <c r="S70" s="66" t="s">
        <v>608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537</v>
      </c>
      <c r="B71" s="62">
        <v>45573</v>
      </c>
      <c r="C71" s="63" t="s">
        <v>645</v>
      </c>
      <c r="D71" s="67">
        <v>15000000</v>
      </c>
      <c r="E71" s="67"/>
      <c r="F71" s="61" t="str">
        <f t="shared" ref="F71:F134" si="1">IF(G71&gt;0,"借","貸")</f>
        <v>借</v>
      </c>
      <c r="G71" s="64">
        <f>SUM(D$6:E71)</f>
        <v>142670428</v>
      </c>
      <c r="H71" s="61"/>
      <c r="I71" s="61" t="s">
        <v>556</v>
      </c>
      <c r="J71" s="61" t="s">
        <v>114</v>
      </c>
      <c r="K71" s="64">
        <v>15000000</v>
      </c>
      <c r="L71" s="61" t="s">
        <v>549</v>
      </c>
      <c r="M71" s="65" t="s">
        <v>557</v>
      </c>
      <c r="N71" s="61"/>
      <c r="O71" s="61"/>
      <c r="P71" s="61"/>
      <c r="Q71" s="61"/>
      <c r="R71" s="61">
        <v>440069</v>
      </c>
      <c r="S71" s="66" t="s">
        <v>593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537</v>
      </c>
      <c r="B72" s="62">
        <v>45574</v>
      </c>
      <c r="C72" s="63" t="s">
        <v>648</v>
      </c>
      <c r="D72" s="67">
        <v>150053</v>
      </c>
      <c r="E72" s="67"/>
      <c r="F72" s="61" t="str">
        <f t="shared" si="1"/>
        <v>借</v>
      </c>
      <c r="G72" s="64">
        <f>SUM(D$6:E72)</f>
        <v>142820481</v>
      </c>
      <c r="H72" s="61" t="s">
        <v>610</v>
      </c>
      <c r="I72" s="61" t="s">
        <v>620</v>
      </c>
      <c r="J72" s="61" t="s">
        <v>114</v>
      </c>
      <c r="K72" s="64">
        <v>150053</v>
      </c>
      <c r="L72" s="61"/>
      <c r="M72" s="65" t="s">
        <v>590</v>
      </c>
      <c r="N72" s="61"/>
      <c r="O72" s="61"/>
      <c r="P72" s="61"/>
      <c r="Q72" s="61"/>
      <c r="R72" s="61">
        <v>436406</v>
      </c>
      <c r="S72" s="66" t="s">
        <v>608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537</v>
      </c>
      <c r="B73" s="62">
        <v>45574</v>
      </c>
      <c r="C73" s="63" t="s">
        <v>646</v>
      </c>
      <c r="D73" s="67">
        <v>187075</v>
      </c>
      <c r="E73" s="67"/>
      <c r="F73" s="61" t="str">
        <f t="shared" si="1"/>
        <v>借</v>
      </c>
      <c r="G73" s="64">
        <f>SUM(D$6:E73)</f>
        <v>143007556</v>
      </c>
      <c r="H73" s="61" t="s">
        <v>610</v>
      </c>
      <c r="I73" s="61" t="s">
        <v>620</v>
      </c>
      <c r="J73" s="61" t="s">
        <v>114</v>
      </c>
      <c r="K73" s="64">
        <v>187075</v>
      </c>
      <c r="L73" s="61"/>
      <c r="M73" s="65" t="s">
        <v>590</v>
      </c>
      <c r="N73" s="61"/>
      <c r="O73" s="61"/>
      <c r="P73" s="61"/>
      <c r="Q73" s="61"/>
      <c r="R73" s="61">
        <v>436406</v>
      </c>
      <c r="S73" s="66" t="s">
        <v>608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537</v>
      </c>
      <c r="B74" s="62">
        <v>45574</v>
      </c>
      <c r="C74" s="63" t="s">
        <v>647</v>
      </c>
      <c r="D74" s="67">
        <v>187075</v>
      </c>
      <c r="E74" s="67"/>
      <c r="F74" s="61" t="str">
        <f t="shared" si="1"/>
        <v>借</v>
      </c>
      <c r="G74" s="64">
        <f>SUM(D$6:E74)</f>
        <v>143194631</v>
      </c>
      <c r="H74" s="61" t="s">
        <v>610</v>
      </c>
      <c r="I74" s="61" t="s">
        <v>620</v>
      </c>
      <c r="J74" s="61" t="s">
        <v>114</v>
      </c>
      <c r="K74" s="64">
        <v>187075</v>
      </c>
      <c r="L74" s="61"/>
      <c r="M74" s="65" t="s">
        <v>590</v>
      </c>
      <c r="N74" s="61"/>
      <c r="O74" s="61"/>
      <c r="P74" s="61"/>
      <c r="Q74" s="61"/>
      <c r="R74" s="61">
        <v>436406</v>
      </c>
      <c r="S74" s="66" t="s">
        <v>608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537</v>
      </c>
      <c r="B75" s="62">
        <v>45576</v>
      </c>
      <c r="C75" s="63" t="s">
        <v>649</v>
      </c>
      <c r="D75" s="67">
        <v>147074</v>
      </c>
      <c r="E75" s="67"/>
      <c r="F75" s="61" t="str">
        <f t="shared" si="1"/>
        <v>借</v>
      </c>
      <c r="G75" s="64">
        <f>SUM(D$6:E75)</f>
        <v>143341705</v>
      </c>
      <c r="H75" s="61" t="s">
        <v>610</v>
      </c>
      <c r="I75" s="61" t="s">
        <v>620</v>
      </c>
      <c r="J75" s="61" t="s">
        <v>114</v>
      </c>
      <c r="K75" s="64">
        <v>147074</v>
      </c>
      <c r="L75" s="61"/>
      <c r="M75" s="65" t="s">
        <v>590</v>
      </c>
      <c r="N75" s="61"/>
      <c r="O75" s="61"/>
      <c r="P75" s="61"/>
      <c r="Q75" s="61"/>
      <c r="R75" s="61">
        <v>436592</v>
      </c>
      <c r="S75" s="66" t="s">
        <v>608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537</v>
      </c>
      <c r="B76" s="62">
        <v>45580</v>
      </c>
      <c r="C76" s="63" t="s">
        <v>650</v>
      </c>
      <c r="D76" s="67">
        <v>222086</v>
      </c>
      <c r="E76" s="67"/>
      <c r="F76" s="61" t="str">
        <f t="shared" si="1"/>
        <v>借</v>
      </c>
      <c r="G76" s="64">
        <f>SUM(D$6:E76)</f>
        <v>143563791</v>
      </c>
      <c r="H76" s="61" t="s">
        <v>610</v>
      </c>
      <c r="I76" s="61" t="s">
        <v>620</v>
      </c>
      <c r="J76" s="61" t="s">
        <v>114</v>
      </c>
      <c r="K76" s="64">
        <v>222086</v>
      </c>
      <c r="L76" s="61"/>
      <c r="M76" s="65" t="s">
        <v>590</v>
      </c>
      <c r="N76" s="61"/>
      <c r="O76" s="61"/>
      <c r="P76" s="61"/>
      <c r="Q76" s="61"/>
      <c r="R76" s="61">
        <v>436966</v>
      </c>
      <c r="S76" s="66" t="s">
        <v>608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61" t="s">
        <v>537</v>
      </c>
      <c r="B77" s="62">
        <v>45581</v>
      </c>
      <c r="C77" s="63" t="s">
        <v>651</v>
      </c>
      <c r="D77" s="67">
        <v>209483</v>
      </c>
      <c r="E77" s="67"/>
      <c r="F77" s="61" t="str">
        <f t="shared" si="1"/>
        <v>借</v>
      </c>
      <c r="G77" s="64">
        <f>SUM(D$6:E77)</f>
        <v>143773274</v>
      </c>
      <c r="H77" s="61" t="s">
        <v>610</v>
      </c>
      <c r="I77" s="61" t="s">
        <v>620</v>
      </c>
      <c r="J77" s="61" t="s">
        <v>114</v>
      </c>
      <c r="K77" s="64">
        <v>209483</v>
      </c>
      <c r="L77" s="61"/>
      <c r="M77" s="65" t="s">
        <v>590</v>
      </c>
      <c r="N77" s="61"/>
      <c r="O77" s="61"/>
      <c r="P77" s="61"/>
      <c r="Q77" s="61"/>
      <c r="R77" s="61">
        <v>437220</v>
      </c>
      <c r="S77" s="66" t="s">
        <v>608</v>
      </c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61" t="s">
        <v>537</v>
      </c>
      <c r="B78" s="62">
        <v>45582</v>
      </c>
      <c r="C78" s="63" t="s">
        <v>652</v>
      </c>
      <c r="D78" s="67">
        <v>125690</v>
      </c>
      <c r="E78" s="67"/>
      <c r="F78" s="61" t="str">
        <f t="shared" si="1"/>
        <v>借</v>
      </c>
      <c r="G78" s="64">
        <f>SUM(D$6:E78)</f>
        <v>143898964</v>
      </c>
      <c r="H78" s="61" t="s">
        <v>610</v>
      </c>
      <c r="I78" s="61" t="s">
        <v>620</v>
      </c>
      <c r="J78" s="61" t="s">
        <v>114</v>
      </c>
      <c r="K78" s="64">
        <v>125690</v>
      </c>
      <c r="L78" s="61"/>
      <c r="M78" s="65" t="s">
        <v>590</v>
      </c>
      <c r="N78" s="61"/>
      <c r="O78" s="61"/>
      <c r="P78" s="61"/>
      <c r="Q78" s="61"/>
      <c r="R78" s="61">
        <v>437426</v>
      </c>
      <c r="S78" s="66" t="s">
        <v>608</v>
      </c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61" t="s">
        <v>537</v>
      </c>
      <c r="B79" s="62">
        <v>45582</v>
      </c>
      <c r="C79" s="63" t="s">
        <v>653</v>
      </c>
      <c r="D79" s="67">
        <v>418966</v>
      </c>
      <c r="E79" s="67"/>
      <c r="F79" s="61" t="str">
        <f t="shared" si="1"/>
        <v>借</v>
      </c>
      <c r="G79" s="64">
        <f>SUM(D$6:E79)</f>
        <v>144317930</v>
      </c>
      <c r="H79" s="61" t="s">
        <v>606</v>
      </c>
      <c r="I79" s="61" t="s">
        <v>620</v>
      </c>
      <c r="J79" s="61" t="s">
        <v>114</v>
      </c>
      <c r="K79" s="64">
        <v>418966</v>
      </c>
      <c r="L79" s="61"/>
      <c r="M79" s="65" t="s">
        <v>590</v>
      </c>
      <c r="N79" s="61"/>
      <c r="O79" s="61"/>
      <c r="P79" s="61"/>
      <c r="Q79" s="61"/>
      <c r="R79" s="61">
        <v>437426</v>
      </c>
      <c r="S79" s="66" t="s">
        <v>608</v>
      </c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 s="61" t="s">
        <v>537</v>
      </c>
      <c r="B80" s="62">
        <v>45583</v>
      </c>
      <c r="C80" s="63" t="s">
        <v>654</v>
      </c>
      <c r="D80" s="67">
        <v>427811</v>
      </c>
      <c r="E80" s="67"/>
      <c r="F80" s="61" t="str">
        <f t="shared" si="1"/>
        <v>借</v>
      </c>
      <c r="G80" s="64">
        <f>SUM(D$6:E80)</f>
        <v>144745741</v>
      </c>
      <c r="H80" s="61" t="s">
        <v>606</v>
      </c>
      <c r="I80" s="61" t="s">
        <v>620</v>
      </c>
      <c r="J80" s="61" t="s">
        <v>114</v>
      </c>
      <c r="K80" s="64">
        <v>427811</v>
      </c>
      <c r="L80" s="61"/>
      <c r="M80" s="65" t="s">
        <v>590</v>
      </c>
      <c r="N80" s="61"/>
      <c r="O80" s="61"/>
      <c r="P80" s="61"/>
      <c r="Q80" s="61"/>
      <c r="R80" s="61">
        <v>437662</v>
      </c>
      <c r="S80" s="66" t="s">
        <v>608</v>
      </c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 s="61" t="s">
        <v>537</v>
      </c>
      <c r="B81" s="62">
        <v>45583</v>
      </c>
      <c r="C81" s="63" t="s">
        <v>655</v>
      </c>
      <c r="D81" s="67">
        <v>512841</v>
      </c>
      <c r="E81" s="67"/>
      <c r="F81" s="61" t="str">
        <f t="shared" si="1"/>
        <v>借</v>
      </c>
      <c r="G81" s="64">
        <f>SUM(D$6:E81)</f>
        <v>145258582</v>
      </c>
      <c r="H81" s="61" t="s">
        <v>610</v>
      </c>
      <c r="I81" s="61" t="s">
        <v>620</v>
      </c>
      <c r="J81" s="61" t="s">
        <v>114</v>
      </c>
      <c r="K81" s="64">
        <v>512841</v>
      </c>
      <c r="L81" s="61"/>
      <c r="M81" s="65" t="s">
        <v>590</v>
      </c>
      <c r="N81" s="61"/>
      <c r="O81" s="61"/>
      <c r="P81" s="61"/>
      <c r="Q81" s="61"/>
      <c r="R81" s="61">
        <v>437662</v>
      </c>
      <c r="S81" s="66" t="s">
        <v>608</v>
      </c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 s="61" t="s">
        <v>537</v>
      </c>
      <c r="B82" s="62">
        <v>45586</v>
      </c>
      <c r="C82" s="63" t="s">
        <v>656</v>
      </c>
      <c r="D82" s="67">
        <v>233440</v>
      </c>
      <c r="E82" s="67"/>
      <c r="F82" s="61" t="str">
        <f t="shared" si="1"/>
        <v>借</v>
      </c>
      <c r="G82" s="64">
        <f>SUM(D$6:E82)</f>
        <v>145492022</v>
      </c>
      <c r="H82" s="61" t="s">
        <v>610</v>
      </c>
      <c r="I82" s="61" t="s">
        <v>620</v>
      </c>
      <c r="J82" s="61" t="s">
        <v>114</v>
      </c>
      <c r="K82" s="64">
        <v>233440</v>
      </c>
      <c r="L82" s="61"/>
      <c r="M82" s="65" t="s">
        <v>590</v>
      </c>
      <c r="N82" s="61"/>
      <c r="O82" s="61"/>
      <c r="P82" s="61"/>
      <c r="Q82" s="61"/>
      <c r="R82" s="61">
        <v>438200</v>
      </c>
      <c r="S82" s="66" t="s">
        <v>37</v>
      </c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 s="61" t="s">
        <v>537</v>
      </c>
      <c r="B83" s="62">
        <v>45587</v>
      </c>
      <c r="C83" s="63" t="s">
        <v>657</v>
      </c>
      <c r="D83" s="67">
        <v>615508</v>
      </c>
      <c r="E83" s="67"/>
      <c r="F83" s="61" t="str">
        <f t="shared" si="1"/>
        <v>借</v>
      </c>
      <c r="G83" s="64">
        <f>SUM(D$6:E83)</f>
        <v>146107530</v>
      </c>
      <c r="H83" s="61"/>
      <c r="I83" s="61" t="s">
        <v>620</v>
      </c>
      <c r="J83" s="61" t="s">
        <v>114</v>
      </c>
      <c r="K83" s="64">
        <v>615508</v>
      </c>
      <c r="L83" s="61"/>
      <c r="M83" s="65" t="s">
        <v>590</v>
      </c>
      <c r="N83" s="61"/>
      <c r="O83" s="61"/>
      <c r="P83" s="61"/>
      <c r="Q83" s="61"/>
      <c r="R83" s="61">
        <v>438464</v>
      </c>
      <c r="S83" s="66" t="s">
        <v>37</v>
      </c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 s="61" t="s">
        <v>537</v>
      </c>
      <c r="B84" s="62">
        <v>45589</v>
      </c>
      <c r="C84" s="63" t="s">
        <v>658</v>
      </c>
      <c r="D84" s="67"/>
      <c r="E84" s="67">
        <v>-200222</v>
      </c>
      <c r="F84" s="61" t="str">
        <f t="shared" si="1"/>
        <v>借</v>
      </c>
      <c r="G84" s="64">
        <f>SUM(D$6:E84)</f>
        <v>145907308</v>
      </c>
      <c r="H84" s="61"/>
      <c r="I84" s="61" t="s">
        <v>625</v>
      </c>
      <c r="J84" s="61" t="s">
        <v>114</v>
      </c>
      <c r="K84" s="64">
        <v>-200222</v>
      </c>
      <c r="L84" s="61"/>
      <c r="M84" s="65" t="s">
        <v>590</v>
      </c>
      <c r="N84" s="61"/>
      <c r="O84" s="61"/>
      <c r="P84" s="61"/>
      <c r="Q84" s="61"/>
      <c r="R84" s="61">
        <v>439076</v>
      </c>
      <c r="S84" s="66" t="s">
        <v>37</v>
      </c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 s="61" t="s">
        <v>537</v>
      </c>
      <c r="B85" s="62">
        <v>45595</v>
      </c>
      <c r="C85" s="63" t="s">
        <v>661</v>
      </c>
      <c r="D85" s="67"/>
      <c r="E85" s="67">
        <v>-8560</v>
      </c>
      <c r="F85" s="61" t="str">
        <f t="shared" si="1"/>
        <v>借</v>
      </c>
      <c r="G85" s="64">
        <f>SUM(D$6:E85)</f>
        <v>145898748</v>
      </c>
      <c r="H85" s="61" t="s">
        <v>610</v>
      </c>
      <c r="I85" s="61" t="s">
        <v>660</v>
      </c>
      <c r="J85" s="61" t="s">
        <v>114</v>
      </c>
      <c r="K85" s="64">
        <v>-8560</v>
      </c>
      <c r="L85" s="61"/>
      <c r="M85" s="65" t="s">
        <v>590</v>
      </c>
      <c r="N85" s="61"/>
      <c r="O85" s="61"/>
      <c r="P85" s="61"/>
      <c r="Q85" s="61"/>
      <c r="R85" s="61">
        <v>442017</v>
      </c>
      <c r="S85" s="66" t="s">
        <v>608</v>
      </c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 s="61" t="s">
        <v>537</v>
      </c>
      <c r="B86" s="62">
        <v>45595</v>
      </c>
      <c r="C86" s="63" t="s">
        <v>659</v>
      </c>
      <c r="D86" s="67"/>
      <c r="E86" s="67">
        <v>-2627</v>
      </c>
      <c r="F86" s="61" t="str">
        <f t="shared" si="1"/>
        <v>借</v>
      </c>
      <c r="G86" s="64">
        <f>SUM(D$6:E86)</f>
        <v>145896121</v>
      </c>
      <c r="H86" s="61" t="s">
        <v>606</v>
      </c>
      <c r="I86" s="61" t="s">
        <v>660</v>
      </c>
      <c r="J86" s="61" t="s">
        <v>114</v>
      </c>
      <c r="K86" s="64">
        <v>-2627</v>
      </c>
      <c r="L86" s="61"/>
      <c r="M86" s="65" t="s">
        <v>590</v>
      </c>
      <c r="N86" s="61"/>
      <c r="O86" s="61"/>
      <c r="P86" s="61"/>
      <c r="Q86" s="61"/>
      <c r="R86" s="61">
        <v>442017</v>
      </c>
      <c r="S86" s="66" t="s">
        <v>608</v>
      </c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 s="61" t="s">
        <v>537</v>
      </c>
      <c r="B87" s="62">
        <v>45595</v>
      </c>
      <c r="C87" s="63" t="s">
        <v>662</v>
      </c>
      <c r="D87" s="67">
        <v>182034</v>
      </c>
      <c r="E87" s="67"/>
      <c r="F87" s="61" t="str">
        <f t="shared" si="1"/>
        <v>借</v>
      </c>
      <c r="G87" s="64">
        <f>SUM(D$6:E87)</f>
        <v>146078155</v>
      </c>
      <c r="H87" s="61" t="s">
        <v>610</v>
      </c>
      <c r="I87" s="61" t="s">
        <v>620</v>
      </c>
      <c r="J87" s="61" t="s">
        <v>114</v>
      </c>
      <c r="K87" s="64">
        <v>182034</v>
      </c>
      <c r="L87" s="61"/>
      <c r="M87" s="65" t="s">
        <v>590</v>
      </c>
      <c r="N87" s="61"/>
      <c r="O87" s="61"/>
      <c r="P87" s="61"/>
      <c r="Q87" s="61"/>
      <c r="R87" s="61">
        <v>440362</v>
      </c>
      <c r="S87" s="66" t="s">
        <v>608</v>
      </c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 s="61" t="s">
        <v>537</v>
      </c>
      <c r="B88" s="62">
        <v>45602</v>
      </c>
      <c r="C88" s="63" t="s">
        <v>663</v>
      </c>
      <c r="D88" s="67">
        <v>387488</v>
      </c>
      <c r="E88" s="67"/>
      <c r="F88" s="61" t="str">
        <f t="shared" si="1"/>
        <v>借</v>
      </c>
      <c r="G88" s="64">
        <f>SUM(D$6:E88)</f>
        <v>146465643</v>
      </c>
      <c r="H88" s="61" t="s">
        <v>610</v>
      </c>
      <c r="I88" s="61" t="s">
        <v>620</v>
      </c>
      <c r="J88" s="61" t="s">
        <v>114</v>
      </c>
      <c r="K88" s="64">
        <v>387488</v>
      </c>
      <c r="L88" s="61"/>
      <c r="M88" s="65" t="s">
        <v>590</v>
      </c>
      <c r="N88" s="61"/>
      <c r="O88" s="61"/>
      <c r="P88" s="61"/>
      <c r="Q88" s="61"/>
      <c r="R88" s="61">
        <v>442330</v>
      </c>
      <c r="S88" s="66" t="s">
        <v>608</v>
      </c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 s="61" t="s">
        <v>537</v>
      </c>
      <c r="B89" s="62">
        <v>45603</v>
      </c>
      <c r="C89" s="63" t="s">
        <v>664</v>
      </c>
      <c r="D89" s="67">
        <v>159072</v>
      </c>
      <c r="E89" s="67"/>
      <c r="F89" s="61" t="str">
        <f t="shared" si="1"/>
        <v>借</v>
      </c>
      <c r="G89" s="64">
        <f>SUM(D$6:E89)</f>
        <v>146624715</v>
      </c>
      <c r="H89" s="61" t="s">
        <v>606</v>
      </c>
      <c r="I89" s="61" t="s">
        <v>620</v>
      </c>
      <c r="J89" s="61" t="s">
        <v>114</v>
      </c>
      <c r="K89" s="64">
        <v>159072</v>
      </c>
      <c r="L89" s="61"/>
      <c r="M89" s="65" t="s">
        <v>590</v>
      </c>
      <c r="N89" s="61"/>
      <c r="O89" s="61"/>
      <c r="P89" s="61"/>
      <c r="Q89" s="61"/>
      <c r="R89" s="61">
        <v>442447</v>
      </c>
      <c r="S89" s="66" t="s">
        <v>608</v>
      </c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 s="61" t="s">
        <v>537</v>
      </c>
      <c r="B90" s="62">
        <v>45604</v>
      </c>
      <c r="C90" s="63" t="s">
        <v>669</v>
      </c>
      <c r="D90" s="67"/>
      <c r="E90" s="67">
        <v>-43000000</v>
      </c>
      <c r="F90" s="61" t="str">
        <f t="shared" si="1"/>
        <v>借</v>
      </c>
      <c r="G90" s="64">
        <f>SUM(D$6:E90)</f>
        <v>103624715</v>
      </c>
      <c r="H90" s="61"/>
      <c r="I90" s="61" t="s">
        <v>597</v>
      </c>
      <c r="J90" s="61" t="s">
        <v>114</v>
      </c>
      <c r="K90" s="64">
        <v>-43000000</v>
      </c>
      <c r="L90" s="61" t="s">
        <v>549</v>
      </c>
      <c r="M90" s="65" t="s">
        <v>557</v>
      </c>
      <c r="N90" s="61"/>
      <c r="O90" s="61"/>
      <c r="P90" s="61"/>
      <c r="Q90" s="61"/>
      <c r="R90" s="61">
        <v>443315</v>
      </c>
      <c r="S90" s="66" t="s">
        <v>593</v>
      </c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 s="61" t="s">
        <v>537</v>
      </c>
      <c r="B91" s="62">
        <v>45604</v>
      </c>
      <c r="C91" s="63" t="s">
        <v>667</v>
      </c>
      <c r="D91" s="67">
        <v>7500</v>
      </c>
      <c r="E91" s="67"/>
      <c r="F91" s="61" t="str">
        <f t="shared" si="1"/>
        <v>借</v>
      </c>
      <c r="G91" s="64">
        <f>SUM(D$6:E91)</f>
        <v>103632215</v>
      </c>
      <c r="H91" s="61"/>
      <c r="I91" s="61" t="s">
        <v>668</v>
      </c>
      <c r="J91" s="61" t="s">
        <v>114</v>
      </c>
      <c r="K91" s="64">
        <v>7500</v>
      </c>
      <c r="L91" s="61"/>
      <c r="M91" s="65" t="s">
        <v>601</v>
      </c>
      <c r="N91" s="61"/>
      <c r="O91" s="61"/>
      <c r="P91" s="61"/>
      <c r="Q91" s="61"/>
      <c r="R91" s="61">
        <v>443323</v>
      </c>
      <c r="S91" s="66" t="s">
        <v>63</v>
      </c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 s="61" t="s">
        <v>537</v>
      </c>
      <c r="B92" s="62">
        <v>45604</v>
      </c>
      <c r="C92" s="63" t="s">
        <v>666</v>
      </c>
      <c r="D92" s="67">
        <v>138908</v>
      </c>
      <c r="E92" s="67"/>
      <c r="F92" s="61" t="str">
        <f t="shared" si="1"/>
        <v>借</v>
      </c>
      <c r="G92" s="64">
        <f>SUM(D$6:E92)</f>
        <v>103771123</v>
      </c>
      <c r="H92" s="61" t="s">
        <v>610</v>
      </c>
      <c r="I92" s="61" t="s">
        <v>620</v>
      </c>
      <c r="J92" s="61" t="s">
        <v>114</v>
      </c>
      <c r="K92" s="64">
        <v>138908</v>
      </c>
      <c r="L92" s="61"/>
      <c r="M92" s="65" t="s">
        <v>590</v>
      </c>
      <c r="N92" s="61"/>
      <c r="O92" s="61"/>
      <c r="P92" s="61"/>
      <c r="Q92" s="61"/>
      <c r="R92" s="61">
        <v>442623</v>
      </c>
      <c r="S92" s="66" t="s">
        <v>608</v>
      </c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 s="61" t="s">
        <v>537</v>
      </c>
      <c r="B93" s="62">
        <v>45604</v>
      </c>
      <c r="C93" s="63" t="s">
        <v>665</v>
      </c>
      <c r="D93" s="67">
        <v>277816</v>
      </c>
      <c r="E93" s="67"/>
      <c r="F93" s="61" t="str">
        <f t="shared" si="1"/>
        <v>借</v>
      </c>
      <c r="G93" s="64">
        <f>SUM(D$6:E93)</f>
        <v>104048939</v>
      </c>
      <c r="H93" s="61" t="s">
        <v>606</v>
      </c>
      <c r="I93" s="61" t="s">
        <v>620</v>
      </c>
      <c r="J93" s="61" t="s">
        <v>114</v>
      </c>
      <c r="K93" s="64">
        <v>277816</v>
      </c>
      <c r="L93" s="61"/>
      <c r="M93" s="65" t="s">
        <v>590</v>
      </c>
      <c r="N93" s="61"/>
      <c r="O93" s="61"/>
      <c r="P93" s="61"/>
      <c r="Q93" s="61"/>
      <c r="R93" s="61">
        <v>442623</v>
      </c>
      <c r="S93" s="66" t="s">
        <v>608</v>
      </c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 s="61" t="s">
        <v>537</v>
      </c>
      <c r="B94" s="62">
        <v>45607</v>
      </c>
      <c r="C94" s="63" t="s">
        <v>670</v>
      </c>
      <c r="D94" s="67"/>
      <c r="E94" s="67">
        <v>-196635</v>
      </c>
      <c r="F94" s="61" t="str">
        <f t="shared" si="1"/>
        <v>借</v>
      </c>
      <c r="G94" s="64">
        <f>SUM(D$6:E94)</f>
        <v>103852304</v>
      </c>
      <c r="H94" s="61" t="s">
        <v>606</v>
      </c>
      <c r="I94" s="61" t="s">
        <v>625</v>
      </c>
      <c r="J94" s="61" t="s">
        <v>114</v>
      </c>
      <c r="K94" s="64">
        <v>-196635</v>
      </c>
      <c r="L94" s="61"/>
      <c r="M94" s="65" t="s">
        <v>590</v>
      </c>
      <c r="N94" s="61"/>
      <c r="O94" s="61"/>
      <c r="P94" s="61"/>
      <c r="Q94" s="61"/>
      <c r="R94" s="61">
        <v>442724</v>
      </c>
      <c r="S94" s="66" t="s">
        <v>608</v>
      </c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 s="61" t="s">
        <v>537</v>
      </c>
      <c r="B95" s="62">
        <v>45607</v>
      </c>
      <c r="C95" s="63" t="s">
        <v>671</v>
      </c>
      <c r="D95" s="67">
        <v>85590</v>
      </c>
      <c r="E95" s="67"/>
      <c r="F95" s="61" t="str">
        <f t="shared" si="1"/>
        <v>借</v>
      </c>
      <c r="G95" s="64">
        <f>SUM(D$6:E95)</f>
        <v>103937894</v>
      </c>
      <c r="H95" s="61" t="s">
        <v>610</v>
      </c>
      <c r="I95" s="61" t="s">
        <v>625</v>
      </c>
      <c r="J95" s="61" t="s">
        <v>114</v>
      </c>
      <c r="K95" s="64">
        <v>85590</v>
      </c>
      <c r="L95" s="61"/>
      <c r="M95" s="65" t="s">
        <v>590</v>
      </c>
      <c r="N95" s="61"/>
      <c r="O95" s="61"/>
      <c r="P95" s="61"/>
      <c r="Q95" s="61"/>
      <c r="R95" s="61">
        <v>442724</v>
      </c>
      <c r="S95" s="66" t="s">
        <v>608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 s="61" t="s">
        <v>537</v>
      </c>
      <c r="B96" s="62">
        <v>45610</v>
      </c>
      <c r="C96" s="63" t="s">
        <v>673</v>
      </c>
      <c r="D96" s="67"/>
      <c r="E96" s="67">
        <v>-439199</v>
      </c>
      <c r="F96" s="61" t="str">
        <f t="shared" si="1"/>
        <v>借</v>
      </c>
      <c r="G96" s="64">
        <f>SUM(D$6:E96)</f>
        <v>103498695</v>
      </c>
      <c r="H96" s="61" t="s">
        <v>610</v>
      </c>
      <c r="I96" s="61" t="s">
        <v>625</v>
      </c>
      <c r="J96" s="61" t="s">
        <v>114</v>
      </c>
      <c r="K96" s="64">
        <v>-439199</v>
      </c>
      <c r="L96" s="61"/>
      <c r="M96" s="65" t="s">
        <v>590</v>
      </c>
      <c r="N96" s="61"/>
      <c r="O96" s="61"/>
      <c r="P96" s="61"/>
      <c r="Q96" s="61"/>
      <c r="R96" s="61">
        <v>443473</v>
      </c>
      <c r="S96" s="66" t="s">
        <v>608</v>
      </c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 s="61" t="s">
        <v>537</v>
      </c>
      <c r="B97" s="62">
        <v>45610</v>
      </c>
      <c r="C97" s="63" t="s">
        <v>672</v>
      </c>
      <c r="D97" s="67">
        <v>186305</v>
      </c>
      <c r="E97" s="67"/>
      <c r="F97" s="61" t="str">
        <f t="shared" si="1"/>
        <v>借</v>
      </c>
      <c r="G97" s="64">
        <f>SUM(D$6:E97)</f>
        <v>103685000</v>
      </c>
      <c r="H97" s="61" t="s">
        <v>606</v>
      </c>
      <c r="I97" s="61" t="s">
        <v>625</v>
      </c>
      <c r="J97" s="61" t="s">
        <v>114</v>
      </c>
      <c r="K97" s="64">
        <v>186305</v>
      </c>
      <c r="L97" s="61"/>
      <c r="M97" s="65" t="s">
        <v>590</v>
      </c>
      <c r="N97" s="61"/>
      <c r="O97" s="61"/>
      <c r="P97" s="61"/>
      <c r="Q97" s="61"/>
      <c r="R97" s="61">
        <v>443473</v>
      </c>
      <c r="S97" s="66" t="s">
        <v>608</v>
      </c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 s="61" t="s">
        <v>537</v>
      </c>
      <c r="B98" s="62">
        <v>45611</v>
      </c>
      <c r="C98" s="63" t="s">
        <v>674</v>
      </c>
      <c r="D98" s="67"/>
      <c r="E98" s="67">
        <v>-67778</v>
      </c>
      <c r="F98" s="61" t="str">
        <f t="shared" si="1"/>
        <v>借</v>
      </c>
      <c r="G98" s="64">
        <f>SUM(D$6:E98)</f>
        <v>103617222</v>
      </c>
      <c r="H98" s="61" t="s">
        <v>610</v>
      </c>
      <c r="I98" s="61" t="s">
        <v>625</v>
      </c>
      <c r="J98" s="61" t="s">
        <v>114</v>
      </c>
      <c r="K98" s="64">
        <v>-67778</v>
      </c>
      <c r="L98" s="61"/>
      <c r="M98" s="65" t="s">
        <v>590</v>
      </c>
      <c r="N98" s="61"/>
      <c r="O98" s="61"/>
      <c r="P98" s="61"/>
      <c r="Q98" s="61"/>
      <c r="R98" s="61">
        <v>443613</v>
      </c>
      <c r="S98" s="66" t="s">
        <v>608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 s="61" t="s">
        <v>537</v>
      </c>
      <c r="B99" s="62">
        <v>45616</v>
      </c>
      <c r="C99" s="63" t="s">
        <v>675</v>
      </c>
      <c r="D99" s="67"/>
      <c r="E99" s="67">
        <v>-174391</v>
      </c>
      <c r="F99" s="61" t="str">
        <f t="shared" si="1"/>
        <v>借</v>
      </c>
      <c r="G99" s="64">
        <f>SUM(D$6:E99)</f>
        <v>103442831</v>
      </c>
      <c r="H99" s="61" t="s">
        <v>610</v>
      </c>
      <c r="I99" s="61" t="s">
        <v>625</v>
      </c>
      <c r="J99" s="61" t="s">
        <v>114</v>
      </c>
      <c r="K99" s="64">
        <v>-174391</v>
      </c>
      <c r="L99" s="61"/>
      <c r="M99" s="65" t="s">
        <v>590</v>
      </c>
      <c r="N99" s="61"/>
      <c r="O99" s="61"/>
      <c r="P99" s="61"/>
      <c r="Q99" s="61"/>
      <c r="R99" s="61">
        <v>444574</v>
      </c>
      <c r="S99" s="66" t="s">
        <v>608</v>
      </c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 s="61" t="s">
        <v>537</v>
      </c>
      <c r="B100" s="62">
        <v>45617</v>
      </c>
      <c r="C100" s="63" t="s">
        <v>676</v>
      </c>
      <c r="D100" s="67">
        <v>60281</v>
      </c>
      <c r="E100" s="67"/>
      <c r="F100" s="61" t="str">
        <f t="shared" si="1"/>
        <v>借</v>
      </c>
      <c r="G100" s="64">
        <f>SUM(D$6:E100)</f>
        <v>103503112</v>
      </c>
      <c r="H100" s="61" t="s">
        <v>610</v>
      </c>
      <c r="I100" s="61" t="s">
        <v>620</v>
      </c>
      <c r="J100" s="61" t="s">
        <v>114</v>
      </c>
      <c r="K100" s="64">
        <v>60281</v>
      </c>
      <c r="L100" s="61"/>
      <c r="M100" s="65" t="s">
        <v>590</v>
      </c>
      <c r="N100" s="61"/>
      <c r="O100" s="61"/>
      <c r="P100" s="61"/>
      <c r="Q100" s="61"/>
      <c r="R100" s="61">
        <v>444979</v>
      </c>
      <c r="S100" s="66" t="s">
        <v>608</v>
      </c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 s="61" t="s">
        <v>537</v>
      </c>
      <c r="B101" s="62">
        <v>45618</v>
      </c>
      <c r="C101" s="63" t="s">
        <v>677</v>
      </c>
      <c r="D101" s="67"/>
      <c r="E101" s="67">
        <v>-115103</v>
      </c>
      <c r="F101" s="61" t="str">
        <f t="shared" si="1"/>
        <v>借</v>
      </c>
      <c r="G101" s="64">
        <f>SUM(D$6:E101)</f>
        <v>103388009</v>
      </c>
      <c r="H101" s="61" t="s">
        <v>610</v>
      </c>
      <c r="I101" s="61" t="s">
        <v>625</v>
      </c>
      <c r="J101" s="61" t="s">
        <v>114</v>
      </c>
      <c r="K101" s="64">
        <v>-115103</v>
      </c>
      <c r="L101" s="61"/>
      <c r="M101" s="65" t="s">
        <v>590</v>
      </c>
      <c r="N101" s="61"/>
      <c r="O101" s="61"/>
      <c r="P101" s="61"/>
      <c r="Q101" s="61"/>
      <c r="R101" s="61">
        <v>445232</v>
      </c>
      <c r="S101" s="66" t="s">
        <v>608</v>
      </c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 s="61" t="s">
        <v>537</v>
      </c>
      <c r="B102" s="62">
        <v>45621</v>
      </c>
      <c r="C102" s="63" t="s">
        <v>678</v>
      </c>
      <c r="D102" s="67"/>
      <c r="E102" s="67">
        <v>-80815</v>
      </c>
      <c r="F102" s="61" t="str">
        <f t="shared" si="1"/>
        <v>借</v>
      </c>
      <c r="G102" s="64">
        <f>SUM(D$6:E102)</f>
        <v>103307194</v>
      </c>
      <c r="H102" s="61" t="s">
        <v>610</v>
      </c>
      <c r="I102" s="61" t="s">
        <v>625</v>
      </c>
      <c r="J102" s="61" t="s">
        <v>114</v>
      </c>
      <c r="K102" s="64">
        <v>-80815</v>
      </c>
      <c r="L102" s="61"/>
      <c r="M102" s="65" t="s">
        <v>590</v>
      </c>
      <c r="N102" s="61"/>
      <c r="O102" s="61"/>
      <c r="P102" s="61"/>
      <c r="Q102" s="61"/>
      <c r="R102" s="61">
        <v>445718</v>
      </c>
      <c r="S102" s="66" t="s">
        <v>608</v>
      </c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 s="61" t="s">
        <v>537</v>
      </c>
      <c r="B103" s="62">
        <v>45622</v>
      </c>
      <c r="C103" s="63" t="s">
        <v>679</v>
      </c>
      <c r="D103" s="67">
        <v>50058</v>
      </c>
      <c r="E103" s="67"/>
      <c r="F103" s="61" t="str">
        <f t="shared" si="1"/>
        <v>借</v>
      </c>
      <c r="G103" s="64">
        <f>SUM(D$6:E103)</f>
        <v>103357252</v>
      </c>
      <c r="H103" s="61" t="s">
        <v>610</v>
      </c>
      <c r="I103" s="61" t="s">
        <v>620</v>
      </c>
      <c r="J103" s="61" t="s">
        <v>114</v>
      </c>
      <c r="K103" s="64">
        <v>50058</v>
      </c>
      <c r="L103" s="61"/>
      <c r="M103" s="65" t="s">
        <v>590</v>
      </c>
      <c r="N103" s="61"/>
      <c r="O103" s="61"/>
      <c r="P103" s="61"/>
      <c r="Q103" s="61"/>
      <c r="R103" s="61">
        <v>445934</v>
      </c>
      <c r="S103" s="66" t="s">
        <v>608</v>
      </c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 s="61" t="s">
        <v>537</v>
      </c>
      <c r="B104" s="62">
        <v>45625</v>
      </c>
      <c r="C104" s="63" t="s">
        <v>684</v>
      </c>
      <c r="D104" s="67"/>
      <c r="E104" s="67">
        <v>-7002</v>
      </c>
      <c r="F104" s="61" t="str">
        <f t="shared" si="1"/>
        <v>借</v>
      </c>
      <c r="G104" s="64">
        <f>SUM(D$6:E104)</f>
        <v>103350250</v>
      </c>
      <c r="H104" s="61" t="s">
        <v>610</v>
      </c>
      <c r="I104" s="61" t="s">
        <v>683</v>
      </c>
      <c r="J104" s="61" t="s">
        <v>114</v>
      </c>
      <c r="K104" s="64">
        <v>-7002</v>
      </c>
      <c r="L104" s="61"/>
      <c r="M104" s="65" t="s">
        <v>590</v>
      </c>
      <c r="N104" s="61"/>
      <c r="O104" s="61"/>
      <c r="P104" s="61"/>
      <c r="Q104" s="61"/>
      <c r="R104" s="61">
        <v>448233</v>
      </c>
      <c r="S104" s="66" t="s">
        <v>608</v>
      </c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 s="61" t="s">
        <v>537</v>
      </c>
      <c r="B105" s="62">
        <v>45625</v>
      </c>
      <c r="C105" s="63" t="s">
        <v>682</v>
      </c>
      <c r="D105" s="67"/>
      <c r="E105" s="67">
        <v>-2410</v>
      </c>
      <c r="F105" s="61" t="str">
        <f t="shared" si="1"/>
        <v>借</v>
      </c>
      <c r="G105" s="64">
        <f>SUM(D$6:E105)</f>
        <v>103347840</v>
      </c>
      <c r="H105" s="61" t="s">
        <v>606</v>
      </c>
      <c r="I105" s="61" t="s">
        <v>683</v>
      </c>
      <c r="J105" s="61" t="s">
        <v>114</v>
      </c>
      <c r="K105" s="64">
        <v>-2410</v>
      </c>
      <c r="L105" s="61"/>
      <c r="M105" s="65" t="s">
        <v>590</v>
      </c>
      <c r="N105" s="61"/>
      <c r="O105" s="61"/>
      <c r="P105" s="61"/>
      <c r="Q105" s="61"/>
      <c r="R105" s="61">
        <v>448233</v>
      </c>
      <c r="S105" s="66" t="s">
        <v>608</v>
      </c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 s="61" t="s">
        <v>537</v>
      </c>
      <c r="B106" s="62">
        <v>45625</v>
      </c>
      <c r="C106" s="63" t="s">
        <v>680</v>
      </c>
      <c r="D106" s="67">
        <v>68976</v>
      </c>
      <c r="E106" s="67"/>
      <c r="F106" s="61" t="str">
        <f t="shared" si="1"/>
        <v>借</v>
      </c>
      <c r="G106" s="64">
        <f>SUM(D$6:E106)</f>
        <v>103416816</v>
      </c>
      <c r="H106" s="61" t="s">
        <v>606</v>
      </c>
      <c r="I106" s="61" t="s">
        <v>620</v>
      </c>
      <c r="J106" s="61" t="s">
        <v>114</v>
      </c>
      <c r="K106" s="64">
        <v>68976</v>
      </c>
      <c r="L106" s="61"/>
      <c r="M106" s="65" t="s">
        <v>590</v>
      </c>
      <c r="N106" s="61"/>
      <c r="O106" s="61"/>
      <c r="P106" s="61"/>
      <c r="Q106" s="61"/>
      <c r="R106" s="61">
        <v>446963</v>
      </c>
      <c r="S106" s="66" t="s">
        <v>608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 s="61" t="s">
        <v>537</v>
      </c>
      <c r="B107" s="62">
        <v>45625</v>
      </c>
      <c r="C107" s="63" t="s">
        <v>681</v>
      </c>
      <c r="D107" s="67">
        <v>70944</v>
      </c>
      <c r="E107" s="67"/>
      <c r="F107" s="61" t="str">
        <f t="shared" si="1"/>
        <v>借</v>
      </c>
      <c r="G107" s="64">
        <f>SUM(D$6:E107)</f>
        <v>103487760</v>
      </c>
      <c r="H107" s="61" t="s">
        <v>610</v>
      </c>
      <c r="I107" s="61" t="s">
        <v>620</v>
      </c>
      <c r="J107" s="61" t="s">
        <v>114</v>
      </c>
      <c r="K107" s="64">
        <v>70944</v>
      </c>
      <c r="L107" s="61"/>
      <c r="M107" s="65" t="s">
        <v>590</v>
      </c>
      <c r="N107" s="61"/>
      <c r="O107" s="61"/>
      <c r="P107" s="61"/>
      <c r="Q107" s="61"/>
      <c r="R107" s="61">
        <v>446963</v>
      </c>
      <c r="S107" s="66" t="s">
        <v>608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 s="61" t="s">
        <v>537</v>
      </c>
      <c r="B108" s="62">
        <v>45629</v>
      </c>
      <c r="C108" s="63" t="s">
        <v>685</v>
      </c>
      <c r="D108" s="67">
        <v>114959</v>
      </c>
      <c r="E108" s="67"/>
      <c r="F108" s="61" t="str">
        <f t="shared" si="1"/>
        <v>借</v>
      </c>
      <c r="G108" s="64">
        <f>SUM(D$6:E108)</f>
        <v>103602719</v>
      </c>
      <c r="H108" s="61" t="s">
        <v>606</v>
      </c>
      <c r="I108" s="61" t="s">
        <v>620</v>
      </c>
      <c r="J108" s="61" t="s">
        <v>114</v>
      </c>
      <c r="K108" s="64">
        <v>114959</v>
      </c>
      <c r="L108" s="61"/>
      <c r="M108" s="65" t="s">
        <v>590</v>
      </c>
      <c r="N108" s="61"/>
      <c r="O108" s="61"/>
      <c r="P108" s="61"/>
      <c r="Q108" s="61"/>
      <c r="R108" s="61">
        <v>447843</v>
      </c>
      <c r="S108" s="66" t="s">
        <v>608</v>
      </c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 s="61" t="s">
        <v>537</v>
      </c>
      <c r="B109" s="62">
        <v>45630</v>
      </c>
      <c r="C109" s="63" t="s">
        <v>686</v>
      </c>
      <c r="D109" s="67">
        <v>114959</v>
      </c>
      <c r="E109" s="67"/>
      <c r="F109" s="61" t="str">
        <f t="shared" si="1"/>
        <v>借</v>
      </c>
      <c r="G109" s="64">
        <f>SUM(D$6:E109)</f>
        <v>103717678</v>
      </c>
      <c r="H109" s="61" t="s">
        <v>606</v>
      </c>
      <c r="I109" s="61" t="s">
        <v>620</v>
      </c>
      <c r="J109" s="61" t="s">
        <v>114</v>
      </c>
      <c r="K109" s="64">
        <v>114959</v>
      </c>
      <c r="L109" s="61"/>
      <c r="M109" s="65" t="s">
        <v>590</v>
      </c>
      <c r="N109" s="61"/>
      <c r="O109" s="61"/>
      <c r="P109" s="61"/>
      <c r="Q109" s="61"/>
      <c r="R109" s="61">
        <v>448412</v>
      </c>
      <c r="S109" s="66" t="s">
        <v>608</v>
      </c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 s="61" t="s">
        <v>537</v>
      </c>
      <c r="B110" s="62">
        <v>45636</v>
      </c>
      <c r="C110" s="63" t="s">
        <v>687</v>
      </c>
      <c r="D110" s="67"/>
      <c r="E110" s="67">
        <v>-7000000</v>
      </c>
      <c r="F110" s="61" t="str">
        <f t="shared" si="1"/>
        <v>借</v>
      </c>
      <c r="G110" s="64">
        <f>SUM(D$6:E110)</f>
        <v>96717678</v>
      </c>
      <c r="H110" s="61"/>
      <c r="I110" s="61" t="s">
        <v>597</v>
      </c>
      <c r="J110" s="61" t="s">
        <v>114</v>
      </c>
      <c r="K110" s="64">
        <v>-7000000</v>
      </c>
      <c r="L110" s="61" t="s">
        <v>549</v>
      </c>
      <c r="M110" s="65" t="s">
        <v>557</v>
      </c>
      <c r="N110" s="61"/>
      <c r="O110" s="61"/>
      <c r="P110" s="61"/>
      <c r="Q110" s="61"/>
      <c r="R110" s="61">
        <v>449580</v>
      </c>
      <c r="S110" s="66" t="s">
        <v>593</v>
      </c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 s="61" t="s">
        <v>537</v>
      </c>
      <c r="B111" s="62">
        <v>45637</v>
      </c>
      <c r="C111" s="63" t="s">
        <v>688</v>
      </c>
      <c r="D111" s="67"/>
      <c r="E111" s="67">
        <v>-99032</v>
      </c>
      <c r="F111" s="61" t="str">
        <f t="shared" si="1"/>
        <v>借</v>
      </c>
      <c r="G111" s="64">
        <f>SUM(D$6:E111)</f>
        <v>96618646</v>
      </c>
      <c r="H111" s="61" t="s">
        <v>606</v>
      </c>
      <c r="I111" s="61" t="s">
        <v>625</v>
      </c>
      <c r="J111" s="61" t="s">
        <v>114</v>
      </c>
      <c r="K111" s="64">
        <v>-99032</v>
      </c>
      <c r="L111" s="61"/>
      <c r="M111" s="65" t="s">
        <v>590</v>
      </c>
      <c r="N111" s="61"/>
      <c r="O111" s="61"/>
      <c r="P111" s="61"/>
      <c r="Q111" s="61"/>
      <c r="R111" s="61">
        <v>449223</v>
      </c>
      <c r="S111" s="66" t="s">
        <v>608</v>
      </c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 s="61" t="s">
        <v>537</v>
      </c>
      <c r="B112" s="62">
        <v>45637</v>
      </c>
      <c r="C112" s="63" t="s">
        <v>689</v>
      </c>
      <c r="D112" s="67">
        <v>91414</v>
      </c>
      <c r="E112" s="67"/>
      <c r="F112" s="61" t="str">
        <f t="shared" si="1"/>
        <v>借</v>
      </c>
      <c r="G112" s="64">
        <f>SUM(D$6:E112)</f>
        <v>96710060</v>
      </c>
      <c r="H112" s="61" t="s">
        <v>610</v>
      </c>
      <c r="I112" s="61" t="s">
        <v>625</v>
      </c>
      <c r="J112" s="61" t="s">
        <v>114</v>
      </c>
      <c r="K112" s="64">
        <v>91414</v>
      </c>
      <c r="L112" s="61"/>
      <c r="M112" s="65" t="s">
        <v>590</v>
      </c>
      <c r="N112" s="61"/>
      <c r="O112" s="61"/>
      <c r="P112" s="61"/>
      <c r="Q112" s="61"/>
      <c r="R112" s="61">
        <v>449223</v>
      </c>
      <c r="S112" s="66" t="s">
        <v>608</v>
      </c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 s="61" t="s">
        <v>537</v>
      </c>
      <c r="B113" s="62">
        <v>45638</v>
      </c>
      <c r="C113" s="63" t="s">
        <v>690</v>
      </c>
      <c r="D113" s="67"/>
      <c r="E113" s="67">
        <v>-169444</v>
      </c>
      <c r="F113" s="61" t="str">
        <f t="shared" si="1"/>
        <v>借</v>
      </c>
      <c r="G113" s="64">
        <f>SUM(D$6:E113)</f>
        <v>96540616</v>
      </c>
      <c r="H113" s="61" t="s">
        <v>610</v>
      </c>
      <c r="I113" s="61" t="s">
        <v>625</v>
      </c>
      <c r="J113" s="61" t="s">
        <v>114</v>
      </c>
      <c r="K113" s="64">
        <v>-169444</v>
      </c>
      <c r="L113" s="61"/>
      <c r="M113" s="65" t="s">
        <v>590</v>
      </c>
      <c r="N113" s="61"/>
      <c r="O113" s="61"/>
      <c r="P113" s="61"/>
      <c r="Q113" s="61"/>
      <c r="R113" s="61">
        <v>449328</v>
      </c>
      <c r="S113" s="66" t="s">
        <v>608</v>
      </c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 s="61" t="s">
        <v>537</v>
      </c>
      <c r="B114" s="62">
        <v>45639</v>
      </c>
      <c r="C114" s="63" t="s">
        <v>691</v>
      </c>
      <c r="D114" s="67">
        <v>53763</v>
      </c>
      <c r="E114" s="67"/>
      <c r="F114" s="61" t="str">
        <f t="shared" si="1"/>
        <v>借</v>
      </c>
      <c r="G114" s="64">
        <f>SUM(D$6:E114)</f>
        <v>96594379</v>
      </c>
      <c r="H114" s="61" t="s">
        <v>606</v>
      </c>
      <c r="I114" s="61" t="s">
        <v>620</v>
      </c>
      <c r="J114" s="61" t="s">
        <v>114</v>
      </c>
      <c r="K114" s="64">
        <v>53763</v>
      </c>
      <c r="L114" s="61"/>
      <c r="M114" s="65" t="s">
        <v>590</v>
      </c>
      <c r="N114" s="61"/>
      <c r="O114" s="61"/>
      <c r="P114" s="61"/>
      <c r="Q114" s="61"/>
      <c r="R114" s="61">
        <v>449556</v>
      </c>
      <c r="S114" s="66" t="s">
        <v>608</v>
      </c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 s="61" t="s">
        <v>537</v>
      </c>
      <c r="B115" s="62">
        <v>45642</v>
      </c>
      <c r="C115" s="63" t="s">
        <v>692</v>
      </c>
      <c r="D115" s="67"/>
      <c r="E115" s="67">
        <v>-478576</v>
      </c>
      <c r="F115" s="61" t="str">
        <f t="shared" si="1"/>
        <v>借</v>
      </c>
      <c r="G115" s="64">
        <f>SUM(D$6:E115)</f>
        <v>96115803</v>
      </c>
      <c r="H115" s="61" t="s">
        <v>610</v>
      </c>
      <c r="I115" s="61" t="s">
        <v>625</v>
      </c>
      <c r="J115" s="61" t="s">
        <v>114</v>
      </c>
      <c r="K115" s="64">
        <v>-478576</v>
      </c>
      <c r="L115" s="61"/>
      <c r="M115" s="65" t="s">
        <v>590</v>
      </c>
      <c r="N115" s="61"/>
      <c r="O115" s="61"/>
      <c r="P115" s="61"/>
      <c r="Q115" s="61"/>
      <c r="R115" s="61">
        <v>449761</v>
      </c>
      <c r="S115" s="66" t="s">
        <v>608</v>
      </c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 s="61" t="s">
        <v>537</v>
      </c>
      <c r="B116" s="62">
        <v>45644</v>
      </c>
      <c r="C116" s="63" t="s">
        <v>693</v>
      </c>
      <c r="D116" s="67">
        <v>186987</v>
      </c>
      <c r="E116" s="67"/>
      <c r="F116" s="61" t="str">
        <f t="shared" si="1"/>
        <v>借</v>
      </c>
      <c r="G116" s="64">
        <f>SUM(D$6:E116)</f>
        <v>96302790</v>
      </c>
      <c r="H116" s="61" t="s">
        <v>606</v>
      </c>
      <c r="I116" s="61" t="s">
        <v>620</v>
      </c>
      <c r="J116" s="61" t="s">
        <v>114</v>
      </c>
      <c r="K116" s="64">
        <v>186987</v>
      </c>
      <c r="L116" s="61"/>
      <c r="M116" s="65" t="s">
        <v>590</v>
      </c>
      <c r="N116" s="61"/>
      <c r="O116" s="61"/>
      <c r="P116" s="61"/>
      <c r="Q116" s="61"/>
      <c r="R116" s="61">
        <v>451844</v>
      </c>
      <c r="S116" s="66" t="s">
        <v>608</v>
      </c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 s="61" t="s">
        <v>537</v>
      </c>
      <c r="B117" s="62">
        <v>45645</v>
      </c>
      <c r="C117" s="63" t="s">
        <v>694</v>
      </c>
      <c r="D117" s="67"/>
      <c r="E117" s="67">
        <v>-114961</v>
      </c>
      <c r="F117" s="61" t="str">
        <f t="shared" si="1"/>
        <v>借</v>
      </c>
      <c r="G117" s="64">
        <f>SUM(D$6:E117)</f>
        <v>96187829</v>
      </c>
      <c r="H117" s="61" t="s">
        <v>606</v>
      </c>
      <c r="I117" s="61" t="s">
        <v>625</v>
      </c>
      <c r="J117" s="61" t="s">
        <v>114</v>
      </c>
      <c r="K117" s="64">
        <v>-114961</v>
      </c>
      <c r="L117" s="61"/>
      <c r="M117" s="65" t="s">
        <v>590</v>
      </c>
      <c r="N117" s="61"/>
      <c r="O117" s="61"/>
      <c r="P117" s="61"/>
      <c r="Q117" s="61"/>
      <c r="R117" s="61">
        <v>451076</v>
      </c>
      <c r="S117" s="66" t="s">
        <v>608</v>
      </c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 s="61" t="s">
        <v>537</v>
      </c>
      <c r="B118" s="62">
        <v>45645</v>
      </c>
      <c r="C118" s="63" t="s">
        <v>695</v>
      </c>
      <c r="D118" s="67"/>
      <c r="E118" s="67">
        <v>-110910</v>
      </c>
      <c r="F118" s="61" t="str">
        <f t="shared" si="1"/>
        <v>借</v>
      </c>
      <c r="G118" s="64">
        <f>SUM(D$6:E118)</f>
        <v>96076919</v>
      </c>
      <c r="H118" s="61" t="s">
        <v>610</v>
      </c>
      <c r="I118" s="61" t="s">
        <v>625</v>
      </c>
      <c r="J118" s="61" t="s">
        <v>114</v>
      </c>
      <c r="K118" s="64">
        <v>-110910</v>
      </c>
      <c r="L118" s="61"/>
      <c r="M118" s="65" t="s">
        <v>590</v>
      </c>
      <c r="N118" s="61"/>
      <c r="O118" s="61"/>
      <c r="P118" s="61"/>
      <c r="Q118" s="61"/>
      <c r="R118" s="61">
        <v>451076</v>
      </c>
      <c r="S118" s="66" t="s">
        <v>608</v>
      </c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 s="61" t="s">
        <v>537</v>
      </c>
      <c r="B119" s="62">
        <v>45645</v>
      </c>
      <c r="C119" s="63" t="s">
        <v>696</v>
      </c>
      <c r="D119" s="67"/>
      <c r="E119" s="67">
        <v>-7500</v>
      </c>
      <c r="F119" s="61" t="str">
        <f t="shared" si="1"/>
        <v>借</v>
      </c>
      <c r="G119" s="64">
        <f>SUM(D$6:E119)</f>
        <v>96069419</v>
      </c>
      <c r="H119" s="61" t="s">
        <v>606</v>
      </c>
      <c r="I119" s="61" t="s">
        <v>625</v>
      </c>
      <c r="J119" s="61" t="s">
        <v>114</v>
      </c>
      <c r="K119" s="64">
        <v>-7500</v>
      </c>
      <c r="L119" s="61"/>
      <c r="M119" s="65" t="s">
        <v>590</v>
      </c>
      <c r="N119" s="61"/>
      <c r="O119" s="61"/>
      <c r="P119" s="61"/>
      <c r="Q119" s="61"/>
      <c r="R119" s="61">
        <v>451076</v>
      </c>
      <c r="S119" s="66" t="s">
        <v>608</v>
      </c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 s="61" t="s">
        <v>537</v>
      </c>
      <c r="B120" s="62">
        <v>45645</v>
      </c>
      <c r="C120" s="63" t="s">
        <v>697</v>
      </c>
      <c r="D120" s="67"/>
      <c r="E120" s="67">
        <v>-4687</v>
      </c>
      <c r="F120" s="61" t="str">
        <f t="shared" si="1"/>
        <v>借</v>
      </c>
      <c r="G120" s="64">
        <f>SUM(D$6:E120)</f>
        <v>96064732</v>
      </c>
      <c r="H120" s="61" t="s">
        <v>606</v>
      </c>
      <c r="I120" s="61" t="s">
        <v>625</v>
      </c>
      <c r="J120" s="61" t="s">
        <v>114</v>
      </c>
      <c r="K120" s="64">
        <v>-4687</v>
      </c>
      <c r="L120" s="61"/>
      <c r="M120" s="65" t="s">
        <v>590</v>
      </c>
      <c r="N120" s="61"/>
      <c r="O120" s="61"/>
      <c r="P120" s="61"/>
      <c r="Q120" s="61"/>
      <c r="R120" s="61">
        <v>451076</v>
      </c>
      <c r="S120" s="66" t="s">
        <v>608</v>
      </c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 s="61" t="s">
        <v>537</v>
      </c>
      <c r="B121" s="62">
        <v>45645</v>
      </c>
      <c r="C121" s="63" t="s">
        <v>698</v>
      </c>
      <c r="D121" s="67"/>
      <c r="E121" s="67">
        <v>-2812</v>
      </c>
      <c r="F121" s="61" t="str">
        <f t="shared" si="1"/>
        <v>借</v>
      </c>
      <c r="G121" s="64">
        <f>SUM(D$6:E121)</f>
        <v>96061920</v>
      </c>
      <c r="H121" s="61" t="s">
        <v>610</v>
      </c>
      <c r="I121" s="61" t="s">
        <v>625</v>
      </c>
      <c r="J121" s="61" t="s">
        <v>114</v>
      </c>
      <c r="K121" s="64">
        <v>-2812</v>
      </c>
      <c r="L121" s="61"/>
      <c r="M121" s="65" t="s">
        <v>590</v>
      </c>
      <c r="N121" s="61"/>
      <c r="O121" s="61"/>
      <c r="P121" s="61"/>
      <c r="Q121" s="61"/>
      <c r="R121" s="61">
        <v>451076</v>
      </c>
      <c r="S121" s="66" t="s">
        <v>608</v>
      </c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 s="61" t="s">
        <v>537</v>
      </c>
      <c r="B122" s="62">
        <v>45646</v>
      </c>
      <c r="C122" s="63" t="s">
        <v>700</v>
      </c>
      <c r="D122" s="67"/>
      <c r="E122" s="67">
        <v>-250592</v>
      </c>
      <c r="F122" s="61" t="str">
        <f t="shared" si="1"/>
        <v>借</v>
      </c>
      <c r="G122" s="64">
        <f>SUM(D$6:E122)</f>
        <v>95811328</v>
      </c>
      <c r="H122" s="61" t="s">
        <v>610</v>
      </c>
      <c r="I122" s="61" t="s">
        <v>625</v>
      </c>
      <c r="J122" s="61" t="s">
        <v>114</v>
      </c>
      <c r="K122" s="64">
        <v>-250592</v>
      </c>
      <c r="L122" s="61"/>
      <c r="M122" s="65" t="s">
        <v>590</v>
      </c>
      <c r="N122" s="61"/>
      <c r="O122" s="61"/>
      <c r="P122" s="61"/>
      <c r="Q122" s="61"/>
      <c r="R122" s="61">
        <v>451273</v>
      </c>
      <c r="S122" s="66" t="s">
        <v>608</v>
      </c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 s="61" t="s">
        <v>537</v>
      </c>
      <c r="B123" s="62">
        <v>45646</v>
      </c>
      <c r="C123" s="63" t="s">
        <v>699</v>
      </c>
      <c r="D123" s="67"/>
      <c r="E123" s="67">
        <v>-17152</v>
      </c>
      <c r="F123" s="61" t="str">
        <f t="shared" si="1"/>
        <v>借</v>
      </c>
      <c r="G123" s="64">
        <f>SUM(D$6:E123)</f>
        <v>95794176</v>
      </c>
      <c r="H123" s="61" t="s">
        <v>606</v>
      </c>
      <c r="I123" s="61" t="s">
        <v>625</v>
      </c>
      <c r="J123" s="61" t="s">
        <v>114</v>
      </c>
      <c r="K123" s="64">
        <v>-17152</v>
      </c>
      <c r="L123" s="61"/>
      <c r="M123" s="65" t="s">
        <v>590</v>
      </c>
      <c r="N123" s="61"/>
      <c r="O123" s="61"/>
      <c r="P123" s="61"/>
      <c r="Q123" s="61"/>
      <c r="R123" s="61">
        <v>451273</v>
      </c>
      <c r="S123" s="66" t="s">
        <v>608</v>
      </c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 s="61" t="s">
        <v>537</v>
      </c>
      <c r="B124" s="62">
        <v>45649</v>
      </c>
      <c r="C124" s="63" t="s">
        <v>701</v>
      </c>
      <c r="D124" s="67"/>
      <c r="E124" s="67">
        <v>-121078</v>
      </c>
      <c r="F124" s="61" t="str">
        <f t="shared" si="1"/>
        <v>借</v>
      </c>
      <c r="G124" s="64">
        <f>SUM(D$6:E124)</f>
        <v>95673098</v>
      </c>
      <c r="H124" s="61" t="s">
        <v>606</v>
      </c>
      <c r="I124" s="61" t="s">
        <v>625</v>
      </c>
      <c r="J124" s="61" t="s">
        <v>114</v>
      </c>
      <c r="K124" s="64">
        <v>-121078</v>
      </c>
      <c r="L124" s="61"/>
      <c r="M124" s="65" t="s">
        <v>590</v>
      </c>
      <c r="N124" s="61"/>
      <c r="O124" s="61"/>
      <c r="P124" s="61"/>
      <c r="Q124" s="61"/>
      <c r="R124" s="61">
        <v>451759</v>
      </c>
      <c r="S124" s="66" t="s">
        <v>608</v>
      </c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 s="61" t="s">
        <v>537</v>
      </c>
      <c r="B125" s="62">
        <v>45649</v>
      </c>
      <c r="C125" s="63" t="s">
        <v>702</v>
      </c>
      <c r="D125" s="67"/>
      <c r="E125" s="67">
        <v>-121078</v>
      </c>
      <c r="F125" s="61" t="str">
        <f t="shared" si="1"/>
        <v>借</v>
      </c>
      <c r="G125" s="64">
        <f>SUM(D$6:E125)</f>
        <v>95552020</v>
      </c>
      <c r="H125" s="61" t="s">
        <v>610</v>
      </c>
      <c r="I125" s="61" t="s">
        <v>625</v>
      </c>
      <c r="J125" s="61" t="s">
        <v>114</v>
      </c>
      <c r="K125" s="64">
        <v>-121078</v>
      </c>
      <c r="L125" s="61"/>
      <c r="M125" s="65" t="s">
        <v>590</v>
      </c>
      <c r="N125" s="61"/>
      <c r="O125" s="61"/>
      <c r="P125" s="61"/>
      <c r="Q125" s="61"/>
      <c r="R125" s="61">
        <v>451759</v>
      </c>
      <c r="S125" s="66" t="s">
        <v>608</v>
      </c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 s="61" t="s">
        <v>537</v>
      </c>
      <c r="B126" s="62">
        <v>45650</v>
      </c>
      <c r="C126" s="63" t="s">
        <v>703</v>
      </c>
      <c r="D126" s="67"/>
      <c r="E126" s="67">
        <v>-94984</v>
      </c>
      <c r="F126" s="61" t="str">
        <f t="shared" si="1"/>
        <v>借</v>
      </c>
      <c r="G126" s="64">
        <f>SUM(D$6:E126)</f>
        <v>95457036</v>
      </c>
      <c r="H126" s="61" t="s">
        <v>610</v>
      </c>
      <c r="I126" s="61" t="s">
        <v>620</v>
      </c>
      <c r="J126" s="61" t="s">
        <v>114</v>
      </c>
      <c r="K126" s="64">
        <v>-94984</v>
      </c>
      <c r="L126" s="61"/>
      <c r="M126" s="65" t="s">
        <v>590</v>
      </c>
      <c r="N126" s="61"/>
      <c r="O126" s="61"/>
      <c r="P126" s="61"/>
      <c r="Q126" s="61"/>
      <c r="R126" s="61">
        <v>452016</v>
      </c>
      <c r="S126" s="66" t="s">
        <v>608</v>
      </c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 s="61" t="s">
        <v>537</v>
      </c>
      <c r="B127" s="62">
        <v>45650</v>
      </c>
      <c r="C127" s="63" t="s">
        <v>704</v>
      </c>
      <c r="D127" s="67">
        <v>416319</v>
      </c>
      <c r="E127" s="67"/>
      <c r="F127" s="61" t="str">
        <f t="shared" si="1"/>
        <v>借</v>
      </c>
      <c r="G127" s="64">
        <f>SUM(D$6:E127)</f>
        <v>95873355</v>
      </c>
      <c r="H127" s="61" t="s">
        <v>606</v>
      </c>
      <c r="I127" s="61" t="s">
        <v>620</v>
      </c>
      <c r="J127" s="61" t="s">
        <v>114</v>
      </c>
      <c r="K127" s="64">
        <v>416319</v>
      </c>
      <c r="L127" s="61"/>
      <c r="M127" s="65" t="s">
        <v>590</v>
      </c>
      <c r="N127" s="61"/>
      <c r="O127" s="61"/>
      <c r="P127" s="61"/>
      <c r="Q127" s="61"/>
      <c r="R127" s="61">
        <v>452016</v>
      </c>
      <c r="S127" s="66" t="s">
        <v>608</v>
      </c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 s="61" t="s">
        <v>537</v>
      </c>
      <c r="B128" s="62">
        <v>45657</v>
      </c>
      <c r="C128" s="63" t="s">
        <v>708</v>
      </c>
      <c r="D128" s="67"/>
      <c r="E128" s="67">
        <v>-9428</v>
      </c>
      <c r="F128" s="61" t="str">
        <f t="shared" si="1"/>
        <v>借</v>
      </c>
      <c r="G128" s="64">
        <f>SUM(D$6:E128)</f>
        <v>95863927</v>
      </c>
      <c r="H128" s="61" t="s">
        <v>610</v>
      </c>
      <c r="I128" s="61" t="s">
        <v>707</v>
      </c>
      <c r="J128" s="61" t="s">
        <v>114</v>
      </c>
      <c r="K128" s="64">
        <v>-9428</v>
      </c>
      <c r="L128" s="61"/>
      <c r="M128" s="65" t="s">
        <v>590</v>
      </c>
      <c r="N128" s="61"/>
      <c r="O128" s="61"/>
      <c r="P128" s="61"/>
      <c r="Q128" s="61"/>
      <c r="R128" s="61">
        <v>454918</v>
      </c>
      <c r="S128" s="66" t="s">
        <v>608</v>
      </c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 s="61" t="s">
        <v>537</v>
      </c>
      <c r="B129" s="62">
        <v>45657</v>
      </c>
      <c r="C129" s="63" t="s">
        <v>706</v>
      </c>
      <c r="D129" s="67"/>
      <c r="E129" s="67">
        <v>-3526</v>
      </c>
      <c r="F129" s="61" t="str">
        <f t="shared" si="1"/>
        <v>借</v>
      </c>
      <c r="G129" s="64">
        <f>SUM(D$6:E129)</f>
        <v>95860401</v>
      </c>
      <c r="H129" s="61" t="s">
        <v>606</v>
      </c>
      <c r="I129" s="61" t="s">
        <v>707</v>
      </c>
      <c r="J129" s="61" t="s">
        <v>114</v>
      </c>
      <c r="K129" s="64">
        <v>-3526</v>
      </c>
      <c r="L129" s="61"/>
      <c r="M129" s="65" t="s">
        <v>590</v>
      </c>
      <c r="N129" s="61"/>
      <c r="O129" s="61"/>
      <c r="P129" s="61"/>
      <c r="Q129" s="61"/>
      <c r="R129" s="61">
        <v>454918</v>
      </c>
      <c r="S129" s="66" t="s">
        <v>608</v>
      </c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 s="61" t="s">
        <v>537</v>
      </c>
      <c r="B130" s="62">
        <v>45657</v>
      </c>
      <c r="C130" s="63" t="s">
        <v>705</v>
      </c>
      <c r="D130" s="67">
        <v>209545</v>
      </c>
      <c r="E130" s="67"/>
      <c r="F130" s="61" t="str">
        <f t="shared" si="1"/>
        <v>借</v>
      </c>
      <c r="G130" s="64">
        <f>SUM(D$6:E130)</f>
        <v>96069946</v>
      </c>
      <c r="H130" s="61" t="s">
        <v>610</v>
      </c>
      <c r="I130" s="61" t="s">
        <v>620</v>
      </c>
      <c r="J130" s="61" t="s">
        <v>114</v>
      </c>
      <c r="K130" s="64">
        <v>209545</v>
      </c>
      <c r="L130" s="61"/>
      <c r="M130" s="65" t="s">
        <v>590</v>
      </c>
      <c r="N130" s="61"/>
      <c r="O130" s="61"/>
      <c r="P130" s="61"/>
      <c r="Q130" s="61"/>
      <c r="R130" s="61">
        <v>454508</v>
      </c>
      <c r="S130" s="66" t="s">
        <v>608</v>
      </c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 s="61" t="s">
        <v>537</v>
      </c>
      <c r="B131" s="62">
        <v>45659</v>
      </c>
      <c r="C131" s="63" t="s">
        <v>709</v>
      </c>
      <c r="D131" s="67">
        <v>49532</v>
      </c>
      <c r="E131" s="67"/>
      <c r="F131" s="61" t="str">
        <f t="shared" si="1"/>
        <v>借</v>
      </c>
      <c r="G131" s="64">
        <f>SUM(D$6:E131)</f>
        <v>96119478</v>
      </c>
      <c r="H131" s="61" t="s">
        <v>610</v>
      </c>
      <c r="I131" s="61" t="s">
        <v>620</v>
      </c>
      <c r="J131" s="61" t="s">
        <v>114</v>
      </c>
      <c r="K131" s="64">
        <v>49532</v>
      </c>
      <c r="L131" s="61"/>
      <c r="M131" s="65" t="s">
        <v>590</v>
      </c>
      <c r="N131" s="61"/>
      <c r="O131" s="61"/>
      <c r="P131" s="61"/>
      <c r="Q131" s="61"/>
      <c r="R131" s="61">
        <v>454144</v>
      </c>
      <c r="S131" s="66" t="s">
        <v>608</v>
      </c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 s="61" t="s">
        <v>537</v>
      </c>
      <c r="B132" s="62">
        <v>45660</v>
      </c>
      <c r="C132" s="63" t="s">
        <v>710</v>
      </c>
      <c r="D132" s="67"/>
      <c r="E132" s="67">
        <v>-73847</v>
      </c>
      <c r="F132" s="61" t="str">
        <f t="shared" si="1"/>
        <v>借</v>
      </c>
      <c r="G132" s="64">
        <f>SUM(D$6:E132)</f>
        <v>96045631</v>
      </c>
      <c r="H132" s="61" t="s">
        <v>610</v>
      </c>
      <c r="I132" s="61" t="s">
        <v>625</v>
      </c>
      <c r="J132" s="61" t="s">
        <v>114</v>
      </c>
      <c r="K132" s="64">
        <v>-73847</v>
      </c>
      <c r="L132" s="61"/>
      <c r="M132" s="65" t="s">
        <v>590</v>
      </c>
      <c r="N132" s="61"/>
      <c r="O132" s="61"/>
      <c r="P132" s="61"/>
      <c r="Q132" s="61"/>
      <c r="R132" s="61">
        <v>454451</v>
      </c>
      <c r="S132" s="66" t="s">
        <v>608</v>
      </c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 s="61" t="s">
        <v>537</v>
      </c>
      <c r="B133" s="62">
        <v>45663</v>
      </c>
      <c r="C133" s="63" t="s">
        <v>711</v>
      </c>
      <c r="D133" s="67">
        <v>322047</v>
      </c>
      <c r="E133" s="67"/>
      <c r="F133" s="61" t="str">
        <f t="shared" si="1"/>
        <v>借</v>
      </c>
      <c r="G133" s="64">
        <f>SUM(D$6:E133)</f>
        <v>96367678</v>
      </c>
      <c r="H133" s="61" t="s">
        <v>610</v>
      </c>
      <c r="I133" s="61" t="s">
        <v>620</v>
      </c>
      <c r="J133" s="61" t="s">
        <v>114</v>
      </c>
      <c r="K133" s="64">
        <v>322047</v>
      </c>
      <c r="L133" s="61"/>
      <c r="M133" s="65" t="s">
        <v>590</v>
      </c>
      <c r="N133" s="61"/>
      <c r="O133" s="61"/>
      <c r="P133" s="61"/>
      <c r="Q133" s="61"/>
      <c r="R133" s="61">
        <v>455028</v>
      </c>
      <c r="S133" s="66" t="s">
        <v>608</v>
      </c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 s="61" t="s">
        <v>537</v>
      </c>
      <c r="B134" s="62">
        <v>45665</v>
      </c>
      <c r="C134" s="63" t="s">
        <v>712</v>
      </c>
      <c r="D134" s="67">
        <v>257801</v>
      </c>
      <c r="E134" s="67"/>
      <c r="F134" s="61" t="str">
        <f t="shared" si="1"/>
        <v>借</v>
      </c>
      <c r="G134" s="64">
        <f>SUM(D$6:E134)</f>
        <v>96625479</v>
      </c>
      <c r="H134" s="61" t="s">
        <v>610</v>
      </c>
      <c r="I134" s="61" t="s">
        <v>620</v>
      </c>
      <c r="J134" s="61" t="s">
        <v>114</v>
      </c>
      <c r="K134" s="64">
        <v>257801</v>
      </c>
      <c r="L134" s="61"/>
      <c r="M134" s="65" t="s">
        <v>590</v>
      </c>
      <c r="N134" s="61"/>
      <c r="O134" s="61"/>
      <c r="P134" s="61"/>
      <c r="Q134" s="61"/>
      <c r="R134" s="61">
        <v>455346</v>
      </c>
      <c r="S134" s="66" t="s">
        <v>608</v>
      </c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 s="61" t="s">
        <v>537</v>
      </c>
      <c r="B135" s="62">
        <v>45666</v>
      </c>
      <c r="C135" s="63" t="s">
        <v>713</v>
      </c>
      <c r="D135" s="67">
        <v>539374</v>
      </c>
      <c r="E135" s="67"/>
      <c r="F135" s="61" t="str">
        <f t="shared" ref="F135:F198" si="2">IF(G135&gt;0,"借","貸")</f>
        <v>借</v>
      </c>
      <c r="G135" s="64">
        <f>SUM(D$6:E135)</f>
        <v>97164853</v>
      </c>
      <c r="H135" s="61" t="s">
        <v>610</v>
      </c>
      <c r="I135" s="61" t="s">
        <v>620</v>
      </c>
      <c r="J135" s="61" t="s">
        <v>114</v>
      </c>
      <c r="K135" s="64">
        <v>539374</v>
      </c>
      <c r="L135" s="61"/>
      <c r="M135" s="65" t="s">
        <v>590</v>
      </c>
      <c r="N135" s="61"/>
      <c r="O135" s="61"/>
      <c r="P135" s="61"/>
      <c r="Q135" s="61"/>
      <c r="R135" s="61">
        <v>455457</v>
      </c>
      <c r="S135" s="66" t="s">
        <v>608</v>
      </c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 s="61" t="s">
        <v>537</v>
      </c>
      <c r="B136" s="62">
        <v>45667</v>
      </c>
      <c r="C136" s="63" t="s">
        <v>714</v>
      </c>
      <c r="D136" s="67">
        <v>11000000</v>
      </c>
      <c r="E136" s="67"/>
      <c r="F136" s="61" t="str">
        <f t="shared" si="2"/>
        <v>借</v>
      </c>
      <c r="G136" s="64">
        <f>SUM(D$6:E136)</f>
        <v>108164853</v>
      </c>
      <c r="H136" s="61"/>
      <c r="I136" s="61" t="s">
        <v>556</v>
      </c>
      <c r="J136" s="61" t="s">
        <v>114</v>
      </c>
      <c r="K136" s="64">
        <v>11000000</v>
      </c>
      <c r="L136" s="61" t="s">
        <v>549</v>
      </c>
      <c r="M136" s="65" t="s">
        <v>557</v>
      </c>
      <c r="N136" s="61"/>
      <c r="O136" s="61"/>
      <c r="P136" s="61"/>
      <c r="Q136" s="61"/>
      <c r="R136" s="61">
        <v>456261</v>
      </c>
      <c r="S136" s="66" t="s">
        <v>593</v>
      </c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 s="61" t="s">
        <v>537</v>
      </c>
      <c r="B137" s="62">
        <v>45670</v>
      </c>
      <c r="C137" s="63" t="s">
        <v>715</v>
      </c>
      <c r="D137" s="67">
        <v>290463</v>
      </c>
      <c r="E137" s="67"/>
      <c r="F137" s="61" t="str">
        <f t="shared" si="2"/>
        <v>借</v>
      </c>
      <c r="G137" s="64">
        <f>SUM(D$6:E137)</f>
        <v>108455316</v>
      </c>
      <c r="H137" s="61" t="s">
        <v>610</v>
      </c>
      <c r="I137" s="61" t="s">
        <v>620</v>
      </c>
      <c r="J137" s="61" t="s">
        <v>114</v>
      </c>
      <c r="K137" s="64">
        <v>290463</v>
      </c>
      <c r="L137" s="61"/>
      <c r="M137" s="65" t="s">
        <v>590</v>
      </c>
      <c r="N137" s="61"/>
      <c r="O137" s="61"/>
      <c r="P137" s="61"/>
      <c r="Q137" s="61"/>
      <c r="R137" s="61">
        <v>455725</v>
      </c>
      <c r="S137" s="66" t="s">
        <v>608</v>
      </c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 s="61" t="s">
        <v>537</v>
      </c>
      <c r="B138" s="62">
        <v>45671</v>
      </c>
      <c r="C138" s="63" t="s">
        <v>716</v>
      </c>
      <c r="D138" s="67">
        <v>79904</v>
      </c>
      <c r="E138" s="67"/>
      <c r="F138" s="61" t="str">
        <f t="shared" si="2"/>
        <v>借</v>
      </c>
      <c r="G138" s="64">
        <f>SUM(D$6:E138)</f>
        <v>108535220</v>
      </c>
      <c r="H138" s="61" t="s">
        <v>610</v>
      </c>
      <c r="I138" s="61" t="s">
        <v>620</v>
      </c>
      <c r="J138" s="61" t="s">
        <v>114</v>
      </c>
      <c r="K138" s="64">
        <v>79904</v>
      </c>
      <c r="L138" s="61"/>
      <c r="M138" s="65" t="s">
        <v>590</v>
      </c>
      <c r="N138" s="61"/>
      <c r="O138" s="61"/>
      <c r="P138" s="61"/>
      <c r="Q138" s="61"/>
      <c r="R138" s="61">
        <v>455987</v>
      </c>
      <c r="S138" s="66" t="s">
        <v>608</v>
      </c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 s="61" t="s">
        <v>537</v>
      </c>
      <c r="B139" s="62">
        <v>45672</v>
      </c>
      <c r="C139" s="63" t="s">
        <v>717</v>
      </c>
      <c r="D139" s="67">
        <v>177283</v>
      </c>
      <c r="E139" s="67"/>
      <c r="F139" s="61" t="str">
        <f t="shared" si="2"/>
        <v>借</v>
      </c>
      <c r="G139" s="64">
        <f>SUM(D$6:E139)</f>
        <v>108712503</v>
      </c>
      <c r="H139" s="61" t="s">
        <v>610</v>
      </c>
      <c r="I139" s="61" t="s">
        <v>620</v>
      </c>
      <c r="J139" s="61" t="s">
        <v>114</v>
      </c>
      <c r="K139" s="64">
        <v>177283</v>
      </c>
      <c r="L139" s="61"/>
      <c r="M139" s="65" t="s">
        <v>590</v>
      </c>
      <c r="N139" s="61"/>
      <c r="O139" s="61"/>
      <c r="P139" s="61"/>
      <c r="Q139" s="61"/>
      <c r="R139" s="61">
        <v>456761</v>
      </c>
      <c r="S139" s="66" t="s">
        <v>608</v>
      </c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 s="61" t="s">
        <v>537</v>
      </c>
      <c r="B140" s="62">
        <v>45673</v>
      </c>
      <c r="C140" s="63" t="s">
        <v>718</v>
      </c>
      <c r="D140" s="67">
        <v>164680</v>
      </c>
      <c r="E140" s="67"/>
      <c r="F140" s="61" t="str">
        <f t="shared" si="2"/>
        <v>借</v>
      </c>
      <c r="G140" s="64">
        <f>SUM(D$6:E140)</f>
        <v>108877183</v>
      </c>
      <c r="H140" s="61" t="s">
        <v>610</v>
      </c>
      <c r="I140" s="61" t="s">
        <v>620</v>
      </c>
      <c r="J140" s="61" t="s">
        <v>114</v>
      </c>
      <c r="K140" s="64">
        <v>164680</v>
      </c>
      <c r="L140" s="61"/>
      <c r="M140" s="65" t="s">
        <v>590</v>
      </c>
      <c r="N140" s="61"/>
      <c r="O140" s="61"/>
      <c r="P140" s="61"/>
      <c r="Q140" s="61"/>
      <c r="R140" s="61">
        <v>456462</v>
      </c>
      <c r="S140" s="66" t="s">
        <v>608</v>
      </c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 s="61" t="s">
        <v>537</v>
      </c>
      <c r="B141" s="62">
        <v>45674</v>
      </c>
      <c r="C141" s="63" t="s">
        <v>720</v>
      </c>
      <c r="D141" s="67">
        <v>98808</v>
      </c>
      <c r="E141" s="67"/>
      <c r="F141" s="61" t="str">
        <f t="shared" si="2"/>
        <v>借</v>
      </c>
      <c r="G141" s="64">
        <f>SUM(D$6:E141)</f>
        <v>108975991</v>
      </c>
      <c r="H141" s="61" t="s">
        <v>610</v>
      </c>
      <c r="I141" s="61" t="s">
        <v>620</v>
      </c>
      <c r="J141" s="61" t="s">
        <v>114</v>
      </c>
      <c r="K141" s="64">
        <v>98808</v>
      </c>
      <c r="L141" s="61"/>
      <c r="M141" s="65" t="s">
        <v>590</v>
      </c>
      <c r="N141" s="61"/>
      <c r="O141" s="61"/>
      <c r="P141" s="61"/>
      <c r="Q141" s="61"/>
      <c r="R141" s="61">
        <v>456690</v>
      </c>
      <c r="S141" s="66" t="s">
        <v>608</v>
      </c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 s="61" t="s">
        <v>537</v>
      </c>
      <c r="B142" s="62">
        <v>45674</v>
      </c>
      <c r="C142" s="63" t="s">
        <v>719</v>
      </c>
      <c r="D142" s="67">
        <v>329360</v>
      </c>
      <c r="E142" s="67"/>
      <c r="F142" s="61" t="str">
        <f t="shared" si="2"/>
        <v>借</v>
      </c>
      <c r="G142" s="64">
        <f>SUM(D$6:E142)</f>
        <v>109305351</v>
      </c>
      <c r="H142" s="61" t="s">
        <v>606</v>
      </c>
      <c r="I142" s="61" t="s">
        <v>620</v>
      </c>
      <c r="J142" s="61" t="s">
        <v>114</v>
      </c>
      <c r="K142" s="64">
        <v>329360</v>
      </c>
      <c r="L142" s="61"/>
      <c r="M142" s="65" t="s">
        <v>590</v>
      </c>
      <c r="N142" s="61"/>
      <c r="O142" s="61"/>
      <c r="P142" s="61"/>
      <c r="Q142" s="61"/>
      <c r="R142" s="61">
        <v>456690</v>
      </c>
      <c r="S142" s="66" t="s">
        <v>608</v>
      </c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 s="61" t="s">
        <v>537</v>
      </c>
      <c r="B143" s="62">
        <v>45677</v>
      </c>
      <c r="C143" s="63" t="s">
        <v>721</v>
      </c>
      <c r="D143" s="67">
        <v>316718</v>
      </c>
      <c r="E143" s="67"/>
      <c r="F143" s="61" t="str">
        <f t="shared" si="2"/>
        <v>借</v>
      </c>
      <c r="G143" s="64">
        <f>SUM(D$6:E143)</f>
        <v>109622069</v>
      </c>
      <c r="H143" s="61" t="s">
        <v>606</v>
      </c>
      <c r="I143" s="61" t="s">
        <v>620</v>
      </c>
      <c r="J143" s="61" t="s">
        <v>114</v>
      </c>
      <c r="K143" s="64">
        <v>316718</v>
      </c>
      <c r="L143" s="61"/>
      <c r="M143" s="65" t="s">
        <v>590</v>
      </c>
      <c r="N143" s="61"/>
      <c r="O143" s="61"/>
      <c r="P143" s="61"/>
      <c r="Q143" s="61"/>
      <c r="R143" s="61">
        <v>456868</v>
      </c>
      <c r="S143" s="66" t="s">
        <v>608</v>
      </c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 s="61" t="s">
        <v>537</v>
      </c>
      <c r="B144" s="62">
        <v>45677</v>
      </c>
      <c r="C144" s="63" t="s">
        <v>722</v>
      </c>
      <c r="D144" s="67">
        <v>566745</v>
      </c>
      <c r="E144" s="67"/>
      <c r="F144" s="61" t="str">
        <f t="shared" si="2"/>
        <v>借</v>
      </c>
      <c r="G144" s="64">
        <f>SUM(D$6:E144)</f>
        <v>110188814</v>
      </c>
      <c r="H144" s="61" t="s">
        <v>610</v>
      </c>
      <c r="I144" s="61" t="s">
        <v>620</v>
      </c>
      <c r="J144" s="61" t="s">
        <v>114</v>
      </c>
      <c r="K144" s="64">
        <v>566745</v>
      </c>
      <c r="L144" s="61"/>
      <c r="M144" s="65" t="s">
        <v>590</v>
      </c>
      <c r="N144" s="61"/>
      <c r="O144" s="61"/>
      <c r="P144" s="61"/>
      <c r="Q144" s="61"/>
      <c r="R144" s="61">
        <v>456868</v>
      </c>
      <c r="S144" s="66" t="s">
        <v>608</v>
      </c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 s="61" t="s">
        <v>537</v>
      </c>
      <c r="B145" s="62">
        <v>45678</v>
      </c>
      <c r="C145" s="63" t="s">
        <v>723</v>
      </c>
      <c r="D145" s="67">
        <v>143755</v>
      </c>
      <c r="E145" s="67"/>
      <c r="F145" s="61" t="str">
        <f t="shared" si="2"/>
        <v>借</v>
      </c>
      <c r="G145" s="64">
        <f>SUM(D$6:E145)</f>
        <v>110332569</v>
      </c>
      <c r="H145" s="61" t="s">
        <v>610</v>
      </c>
      <c r="I145" s="61" t="s">
        <v>620</v>
      </c>
      <c r="J145" s="61" t="s">
        <v>114</v>
      </c>
      <c r="K145" s="64">
        <v>143755</v>
      </c>
      <c r="L145" s="61"/>
      <c r="M145" s="65" t="s">
        <v>590</v>
      </c>
      <c r="N145" s="61"/>
      <c r="O145" s="61"/>
      <c r="P145" s="61"/>
      <c r="Q145" s="61"/>
      <c r="R145" s="61">
        <v>457254</v>
      </c>
      <c r="S145" s="66" t="s">
        <v>608</v>
      </c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 s="61" t="s">
        <v>537</v>
      </c>
      <c r="B146" s="62">
        <v>45679</v>
      </c>
      <c r="C146" s="63" t="s">
        <v>726</v>
      </c>
      <c r="D146" s="67">
        <v>100116</v>
      </c>
      <c r="E146" s="67"/>
      <c r="F146" s="61" t="str">
        <f t="shared" si="2"/>
        <v>借</v>
      </c>
      <c r="G146" s="64">
        <f>SUM(D$6:E146)</f>
        <v>110432685</v>
      </c>
      <c r="H146" s="61" t="s">
        <v>610</v>
      </c>
      <c r="I146" s="61" t="s">
        <v>620</v>
      </c>
      <c r="J146" s="61" t="s">
        <v>114</v>
      </c>
      <c r="K146" s="64">
        <v>100116</v>
      </c>
      <c r="L146" s="61"/>
      <c r="M146" s="65" t="s">
        <v>590</v>
      </c>
      <c r="N146" s="61"/>
      <c r="O146" s="61"/>
      <c r="P146" s="61"/>
      <c r="Q146" s="61"/>
      <c r="R146" s="61">
        <v>457411</v>
      </c>
      <c r="S146" s="66" t="s">
        <v>608</v>
      </c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 s="61" t="s">
        <v>537</v>
      </c>
      <c r="B147" s="62">
        <v>45679</v>
      </c>
      <c r="C147" s="63" t="s">
        <v>724</v>
      </c>
      <c r="D147" s="67">
        <v>348522</v>
      </c>
      <c r="E147" s="67"/>
      <c r="F147" s="61" t="str">
        <f t="shared" si="2"/>
        <v>借</v>
      </c>
      <c r="G147" s="64">
        <f>SUM(D$6:E147)</f>
        <v>110781207</v>
      </c>
      <c r="H147" s="61" t="s">
        <v>606</v>
      </c>
      <c r="I147" s="61" t="s">
        <v>620</v>
      </c>
      <c r="J147" s="61" t="s">
        <v>114</v>
      </c>
      <c r="K147" s="64">
        <v>348522</v>
      </c>
      <c r="L147" s="61"/>
      <c r="M147" s="65" t="s">
        <v>725</v>
      </c>
      <c r="N147" s="61"/>
      <c r="O147" s="61"/>
      <c r="P147" s="61"/>
      <c r="Q147" s="61"/>
      <c r="R147" s="61">
        <v>457411</v>
      </c>
      <c r="S147" s="66" t="s">
        <v>608</v>
      </c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 s="61" t="s">
        <v>537</v>
      </c>
      <c r="B148" s="62">
        <v>45680</v>
      </c>
      <c r="C148" s="63" t="s">
        <v>727</v>
      </c>
      <c r="D148" s="67">
        <v>111663</v>
      </c>
      <c r="E148" s="67"/>
      <c r="F148" s="61" t="str">
        <f t="shared" si="2"/>
        <v>借</v>
      </c>
      <c r="G148" s="64">
        <f>SUM(D$6:E148)</f>
        <v>110892870</v>
      </c>
      <c r="H148" s="61" t="s">
        <v>610</v>
      </c>
      <c r="I148" s="61" t="s">
        <v>620</v>
      </c>
      <c r="J148" s="61" t="s">
        <v>114</v>
      </c>
      <c r="K148" s="64">
        <v>111663</v>
      </c>
      <c r="L148" s="61"/>
      <c r="M148" s="65" t="s">
        <v>590</v>
      </c>
      <c r="N148" s="61"/>
      <c r="O148" s="61"/>
      <c r="P148" s="61"/>
      <c r="Q148" s="61"/>
      <c r="R148" s="61">
        <v>457864</v>
      </c>
      <c r="S148" s="66" t="s">
        <v>608</v>
      </c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 s="61" t="s">
        <v>537</v>
      </c>
      <c r="B149" s="62">
        <v>45681</v>
      </c>
      <c r="C149" s="63" t="s">
        <v>731</v>
      </c>
      <c r="D149" s="67"/>
      <c r="E149" s="67">
        <v>-50519</v>
      </c>
      <c r="F149" s="61" t="str">
        <f t="shared" si="2"/>
        <v>借</v>
      </c>
      <c r="G149" s="64">
        <f>SUM(D$6:E149)</f>
        <v>110842351</v>
      </c>
      <c r="H149" s="61" t="s">
        <v>610</v>
      </c>
      <c r="I149" s="61" t="s">
        <v>625</v>
      </c>
      <c r="J149" s="61" t="s">
        <v>114</v>
      </c>
      <c r="K149" s="64">
        <v>-50519</v>
      </c>
      <c r="L149" s="61"/>
      <c r="M149" s="65" t="s">
        <v>590</v>
      </c>
      <c r="N149" s="61"/>
      <c r="O149" s="61"/>
      <c r="P149" s="61"/>
      <c r="Q149" s="61"/>
      <c r="R149" s="61">
        <v>458516</v>
      </c>
      <c r="S149" s="66" t="s">
        <v>608</v>
      </c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 s="61" t="s">
        <v>537</v>
      </c>
      <c r="B150" s="62">
        <v>45681</v>
      </c>
      <c r="C150" s="63" t="s">
        <v>733</v>
      </c>
      <c r="D150" s="67"/>
      <c r="E150" s="67">
        <v>-22489</v>
      </c>
      <c r="F150" s="61" t="str">
        <f t="shared" si="2"/>
        <v>借</v>
      </c>
      <c r="G150" s="64">
        <f>SUM(D$6:E150)</f>
        <v>110819862</v>
      </c>
      <c r="H150" s="61" t="s">
        <v>610</v>
      </c>
      <c r="I150" s="61" t="s">
        <v>729</v>
      </c>
      <c r="J150" s="61" t="s">
        <v>114</v>
      </c>
      <c r="K150" s="64">
        <v>-22489</v>
      </c>
      <c r="L150" s="61"/>
      <c r="M150" s="65" t="s">
        <v>590</v>
      </c>
      <c r="N150" s="61"/>
      <c r="O150" s="61"/>
      <c r="P150" s="61"/>
      <c r="Q150" s="61"/>
      <c r="R150" s="61">
        <v>459692</v>
      </c>
      <c r="S150" s="66" t="s">
        <v>608</v>
      </c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 s="61" t="s">
        <v>537</v>
      </c>
      <c r="B151" s="62">
        <v>45681</v>
      </c>
      <c r="C151" s="63" t="s">
        <v>732</v>
      </c>
      <c r="D151" s="67"/>
      <c r="E151" s="67">
        <v>-8124</v>
      </c>
      <c r="F151" s="61" t="str">
        <f t="shared" si="2"/>
        <v>借</v>
      </c>
      <c r="G151" s="64">
        <f>SUM(D$6:E151)</f>
        <v>110811738</v>
      </c>
      <c r="H151" s="61" t="s">
        <v>606</v>
      </c>
      <c r="I151" s="61" t="s">
        <v>729</v>
      </c>
      <c r="J151" s="61" t="s">
        <v>114</v>
      </c>
      <c r="K151" s="64">
        <v>-8124</v>
      </c>
      <c r="L151" s="61"/>
      <c r="M151" s="65" t="s">
        <v>590</v>
      </c>
      <c r="N151" s="61"/>
      <c r="O151" s="61"/>
      <c r="P151" s="61"/>
      <c r="Q151" s="61"/>
      <c r="R151" s="61">
        <v>459692</v>
      </c>
      <c r="S151" s="66" t="s">
        <v>608</v>
      </c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 s="61" t="s">
        <v>537</v>
      </c>
      <c r="B152" s="62">
        <v>45681</v>
      </c>
      <c r="C152" s="63" t="s">
        <v>728</v>
      </c>
      <c r="D152" s="67">
        <v>4340</v>
      </c>
      <c r="E152" s="67"/>
      <c r="F152" s="61" t="str">
        <f t="shared" si="2"/>
        <v>借</v>
      </c>
      <c r="G152" s="64">
        <f>SUM(D$6:E152)</f>
        <v>110816078</v>
      </c>
      <c r="H152" s="61" t="s">
        <v>606</v>
      </c>
      <c r="I152" s="61" t="s">
        <v>729</v>
      </c>
      <c r="J152" s="61" t="s">
        <v>114</v>
      </c>
      <c r="K152" s="64">
        <v>4340</v>
      </c>
      <c r="L152" s="61"/>
      <c r="M152" s="65" t="s">
        <v>590</v>
      </c>
      <c r="N152" s="61"/>
      <c r="O152" s="61"/>
      <c r="P152" s="61"/>
      <c r="Q152" s="61"/>
      <c r="R152" s="61">
        <v>459692</v>
      </c>
      <c r="S152" s="66" t="s">
        <v>608</v>
      </c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 s="61" t="s">
        <v>537</v>
      </c>
      <c r="B153" s="62">
        <v>45681</v>
      </c>
      <c r="C153" s="63" t="s">
        <v>730</v>
      </c>
      <c r="D153" s="67">
        <v>13311</v>
      </c>
      <c r="E153" s="67"/>
      <c r="F153" s="61" t="str">
        <f t="shared" si="2"/>
        <v>借</v>
      </c>
      <c r="G153" s="64">
        <f>SUM(D$6:E153)</f>
        <v>110829389</v>
      </c>
      <c r="H153" s="61" t="s">
        <v>610</v>
      </c>
      <c r="I153" s="61" t="s">
        <v>729</v>
      </c>
      <c r="J153" s="61" t="s">
        <v>114</v>
      </c>
      <c r="K153" s="64">
        <v>13311</v>
      </c>
      <c r="L153" s="61"/>
      <c r="M153" s="65" t="s">
        <v>590</v>
      </c>
      <c r="N153" s="61"/>
      <c r="O153" s="61"/>
      <c r="P153" s="61"/>
      <c r="Q153" s="61"/>
      <c r="R153" s="61">
        <v>459692</v>
      </c>
      <c r="S153" s="66" t="s">
        <v>608</v>
      </c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 s="61" t="s">
        <v>537</v>
      </c>
      <c r="B154" s="62">
        <v>45694</v>
      </c>
      <c r="C154" s="63" t="s">
        <v>734</v>
      </c>
      <c r="D154" s="67">
        <v>115400</v>
      </c>
      <c r="E154" s="67"/>
      <c r="F154" s="61" t="str">
        <f t="shared" si="2"/>
        <v>借</v>
      </c>
      <c r="G154" s="64">
        <f>SUM(D$6:E154)</f>
        <v>110944789</v>
      </c>
      <c r="H154" s="61" t="s">
        <v>245</v>
      </c>
      <c r="I154" s="61" t="s">
        <v>735</v>
      </c>
      <c r="J154" s="61" t="s">
        <v>114</v>
      </c>
      <c r="K154" s="64">
        <v>115400</v>
      </c>
      <c r="L154" s="61"/>
      <c r="M154" s="65" t="s">
        <v>736</v>
      </c>
      <c r="N154" s="61"/>
      <c r="O154" s="61"/>
      <c r="P154" s="61"/>
      <c r="Q154" s="61"/>
      <c r="R154" s="61">
        <v>457695</v>
      </c>
      <c r="S154" s="66" t="s">
        <v>43</v>
      </c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 s="61" t="s">
        <v>537</v>
      </c>
      <c r="B155" s="62">
        <v>45694</v>
      </c>
      <c r="C155" s="63" t="s">
        <v>737</v>
      </c>
      <c r="D155" s="67">
        <v>339608</v>
      </c>
      <c r="E155" s="67"/>
      <c r="F155" s="61" t="str">
        <f t="shared" si="2"/>
        <v>借</v>
      </c>
      <c r="G155" s="64">
        <f>SUM(D$6:E155)</f>
        <v>111284397</v>
      </c>
      <c r="H155" s="61" t="s">
        <v>610</v>
      </c>
      <c r="I155" s="61" t="s">
        <v>620</v>
      </c>
      <c r="J155" s="61" t="s">
        <v>114</v>
      </c>
      <c r="K155" s="64">
        <v>339608</v>
      </c>
      <c r="L155" s="61"/>
      <c r="M155" s="65" t="s">
        <v>590</v>
      </c>
      <c r="N155" s="61"/>
      <c r="O155" s="61"/>
      <c r="P155" s="61"/>
      <c r="Q155" s="61"/>
      <c r="R155" s="61">
        <v>459895</v>
      </c>
      <c r="S155" s="66" t="s">
        <v>608</v>
      </c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 s="61" t="s">
        <v>537</v>
      </c>
      <c r="B156" s="62">
        <v>45695</v>
      </c>
      <c r="C156" s="63" t="s">
        <v>738</v>
      </c>
      <c r="D156" s="67">
        <v>118882</v>
      </c>
      <c r="E156" s="67"/>
      <c r="F156" s="61" t="str">
        <f t="shared" si="2"/>
        <v>借</v>
      </c>
      <c r="G156" s="64">
        <f>SUM(D$6:E156)</f>
        <v>111403279</v>
      </c>
      <c r="H156" s="61" t="s">
        <v>606</v>
      </c>
      <c r="I156" s="61" t="s">
        <v>620</v>
      </c>
      <c r="J156" s="61" t="s">
        <v>114</v>
      </c>
      <c r="K156" s="64">
        <v>118882</v>
      </c>
      <c r="L156" s="61"/>
      <c r="M156" s="65" t="s">
        <v>590</v>
      </c>
      <c r="N156" s="61"/>
      <c r="O156" s="61"/>
      <c r="P156" s="61"/>
      <c r="Q156" s="61"/>
      <c r="R156" s="61">
        <v>460053</v>
      </c>
      <c r="S156" s="66" t="s">
        <v>608</v>
      </c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 s="61" t="s">
        <v>537</v>
      </c>
      <c r="B157" s="62">
        <v>45695</v>
      </c>
      <c r="C157" s="63" t="s">
        <v>739</v>
      </c>
      <c r="D157" s="67">
        <v>11000000</v>
      </c>
      <c r="E157" s="67"/>
      <c r="F157" s="61" t="str">
        <f t="shared" si="2"/>
        <v>借</v>
      </c>
      <c r="G157" s="64">
        <f>SUM(D$6:E157)</f>
        <v>122403279</v>
      </c>
      <c r="H157" s="61"/>
      <c r="I157" s="61" t="s">
        <v>556</v>
      </c>
      <c r="J157" s="61" t="s">
        <v>114</v>
      </c>
      <c r="K157" s="64">
        <v>11000000</v>
      </c>
      <c r="L157" s="61" t="s">
        <v>549</v>
      </c>
      <c r="M157" s="65" t="s">
        <v>557</v>
      </c>
      <c r="N157" s="61"/>
      <c r="O157" s="61"/>
      <c r="P157" s="61"/>
      <c r="Q157" s="61"/>
      <c r="R157" s="61">
        <v>460383</v>
      </c>
      <c r="S157" s="66" t="s">
        <v>593</v>
      </c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 s="61" t="s">
        <v>537</v>
      </c>
      <c r="B158" s="62">
        <v>45696</v>
      </c>
      <c r="C158" s="63" t="s">
        <v>742</v>
      </c>
      <c r="D158" s="67">
        <v>60771</v>
      </c>
      <c r="E158" s="67"/>
      <c r="F158" s="61" t="str">
        <f t="shared" si="2"/>
        <v>借</v>
      </c>
      <c r="G158" s="64">
        <f>SUM(D$6:E158)</f>
        <v>122464050</v>
      </c>
      <c r="H158" s="61" t="s">
        <v>610</v>
      </c>
      <c r="I158" s="61" t="s">
        <v>625</v>
      </c>
      <c r="J158" s="61" t="s">
        <v>114</v>
      </c>
      <c r="K158" s="64">
        <v>60771</v>
      </c>
      <c r="L158" s="61"/>
      <c r="M158" s="65" t="s">
        <v>590</v>
      </c>
      <c r="N158" s="61"/>
      <c r="O158" s="61"/>
      <c r="P158" s="61"/>
      <c r="Q158" s="61"/>
      <c r="R158" s="61">
        <v>460282</v>
      </c>
      <c r="S158" s="66" t="s">
        <v>608</v>
      </c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 s="61" t="s">
        <v>537</v>
      </c>
      <c r="B159" s="62">
        <v>45696</v>
      </c>
      <c r="C159" s="63" t="s">
        <v>741</v>
      </c>
      <c r="D159" s="67">
        <v>336583</v>
      </c>
      <c r="E159" s="67"/>
      <c r="F159" s="61" t="str">
        <f t="shared" si="2"/>
        <v>借</v>
      </c>
      <c r="G159" s="64">
        <f>SUM(D$6:E159)</f>
        <v>122800633</v>
      </c>
      <c r="H159" s="61" t="s">
        <v>606</v>
      </c>
      <c r="I159" s="61" t="s">
        <v>620</v>
      </c>
      <c r="J159" s="61" t="s">
        <v>114</v>
      </c>
      <c r="K159" s="64">
        <v>336583</v>
      </c>
      <c r="L159" s="61"/>
      <c r="M159" s="65" t="s">
        <v>590</v>
      </c>
      <c r="N159" s="61"/>
      <c r="O159" s="61"/>
      <c r="P159" s="61"/>
      <c r="Q159" s="61"/>
      <c r="R159" s="61">
        <v>460282</v>
      </c>
      <c r="S159" s="66" t="s">
        <v>608</v>
      </c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 s="61" t="s">
        <v>537</v>
      </c>
      <c r="B160" s="62">
        <v>45698</v>
      </c>
      <c r="C160" s="63" t="s">
        <v>745</v>
      </c>
      <c r="D160" s="67"/>
      <c r="E160" s="67">
        <v>-155959</v>
      </c>
      <c r="F160" s="61" t="str">
        <f t="shared" si="2"/>
        <v>借</v>
      </c>
      <c r="G160" s="64">
        <f>SUM(D$6:E160)</f>
        <v>122644674</v>
      </c>
      <c r="H160" s="61" t="s">
        <v>606</v>
      </c>
      <c r="I160" s="61" t="s">
        <v>746</v>
      </c>
      <c r="J160" s="61" t="s">
        <v>114</v>
      </c>
      <c r="K160" s="64">
        <v>-155959</v>
      </c>
      <c r="L160" s="61"/>
      <c r="M160" s="65" t="s">
        <v>590</v>
      </c>
      <c r="N160" s="61"/>
      <c r="O160" s="61"/>
      <c r="P160" s="61"/>
      <c r="Q160" s="61"/>
      <c r="R160" s="61">
        <v>460394</v>
      </c>
      <c r="S160" s="66" t="s">
        <v>608</v>
      </c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 s="61" t="s">
        <v>537</v>
      </c>
      <c r="B161" s="62">
        <v>45698</v>
      </c>
      <c r="C161" s="63" t="s">
        <v>743</v>
      </c>
      <c r="D161" s="67">
        <v>10247</v>
      </c>
      <c r="E161" s="67"/>
      <c r="F161" s="61" t="str">
        <f t="shared" si="2"/>
        <v>借</v>
      </c>
      <c r="G161" s="64">
        <f>SUM(D$6:E161)</f>
        <v>122654921</v>
      </c>
      <c r="H161" s="61" t="s">
        <v>610</v>
      </c>
      <c r="I161" s="61" t="s">
        <v>744</v>
      </c>
      <c r="J161" s="61" t="s">
        <v>114</v>
      </c>
      <c r="K161" s="64">
        <v>10247</v>
      </c>
      <c r="L161" s="61"/>
      <c r="M161" s="65" t="s">
        <v>590</v>
      </c>
      <c r="N161" s="61"/>
      <c r="O161" s="61"/>
      <c r="P161" s="61"/>
      <c r="Q161" s="61"/>
      <c r="R161" s="61">
        <v>460394</v>
      </c>
      <c r="S161" s="66" t="s">
        <v>608</v>
      </c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 s="61" t="s">
        <v>537</v>
      </c>
      <c r="B162" s="62">
        <v>45700</v>
      </c>
      <c r="C162" s="63" t="s">
        <v>747</v>
      </c>
      <c r="D162" s="67"/>
      <c r="E162" s="67">
        <v>-164630</v>
      </c>
      <c r="F162" s="61" t="str">
        <f t="shared" si="2"/>
        <v>借</v>
      </c>
      <c r="G162" s="64">
        <f>SUM(D$6:E162)</f>
        <v>122490291</v>
      </c>
      <c r="H162" s="61" t="s">
        <v>606</v>
      </c>
      <c r="I162" s="61" t="s">
        <v>625</v>
      </c>
      <c r="J162" s="61" t="s">
        <v>114</v>
      </c>
      <c r="K162" s="64">
        <v>-164630</v>
      </c>
      <c r="L162" s="61"/>
      <c r="M162" s="65" t="s">
        <v>590</v>
      </c>
      <c r="N162" s="61"/>
      <c r="O162" s="61"/>
      <c r="P162" s="61"/>
      <c r="Q162" s="61"/>
      <c r="R162" s="61">
        <v>460732</v>
      </c>
      <c r="S162" s="66" t="s">
        <v>608</v>
      </c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 s="61" t="s">
        <v>537</v>
      </c>
      <c r="B163" s="62">
        <v>45702</v>
      </c>
      <c r="C163" s="63" t="s">
        <v>748</v>
      </c>
      <c r="D163" s="67"/>
      <c r="E163" s="67">
        <v>-194201</v>
      </c>
      <c r="F163" s="61" t="str">
        <f t="shared" si="2"/>
        <v>借</v>
      </c>
      <c r="G163" s="64">
        <f>SUM(D$6:E163)</f>
        <v>122296090</v>
      </c>
      <c r="H163" s="61" t="s">
        <v>610</v>
      </c>
      <c r="I163" s="61" t="s">
        <v>625</v>
      </c>
      <c r="J163" s="61" t="s">
        <v>114</v>
      </c>
      <c r="K163" s="64">
        <v>-194201</v>
      </c>
      <c r="L163" s="61"/>
      <c r="M163" s="65" t="s">
        <v>590</v>
      </c>
      <c r="N163" s="61"/>
      <c r="O163" s="61"/>
      <c r="P163" s="61"/>
      <c r="Q163" s="61"/>
      <c r="R163" s="61">
        <v>461111</v>
      </c>
      <c r="S163" s="66" t="s">
        <v>608</v>
      </c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 s="61" t="s">
        <v>537</v>
      </c>
      <c r="B164" s="62">
        <v>45702</v>
      </c>
      <c r="C164" s="63" t="s">
        <v>749</v>
      </c>
      <c r="D164" s="67">
        <v>88003</v>
      </c>
      <c r="E164" s="67"/>
      <c r="F164" s="61" t="str">
        <f t="shared" si="2"/>
        <v>借</v>
      </c>
      <c r="G164" s="64">
        <f>SUM(D$6:E164)</f>
        <v>122384093</v>
      </c>
      <c r="H164" s="61" t="s">
        <v>606</v>
      </c>
      <c r="I164" s="61" t="s">
        <v>625</v>
      </c>
      <c r="J164" s="61" t="s">
        <v>114</v>
      </c>
      <c r="K164" s="64">
        <v>88003</v>
      </c>
      <c r="L164" s="61"/>
      <c r="M164" s="65" t="s">
        <v>590</v>
      </c>
      <c r="N164" s="61"/>
      <c r="O164" s="61"/>
      <c r="P164" s="61"/>
      <c r="Q164" s="61"/>
      <c r="R164" s="61">
        <v>461111</v>
      </c>
      <c r="S164" s="66" t="s">
        <v>608</v>
      </c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 s="61" t="s">
        <v>537</v>
      </c>
      <c r="B165" s="62">
        <v>45705</v>
      </c>
      <c r="C165" s="63" t="s">
        <v>750</v>
      </c>
      <c r="D165" s="67"/>
      <c r="E165" s="67">
        <v>-30621</v>
      </c>
      <c r="F165" s="61" t="str">
        <f t="shared" si="2"/>
        <v>借</v>
      </c>
      <c r="G165" s="64">
        <f>SUM(D$6:E165)</f>
        <v>122353472</v>
      </c>
      <c r="H165" s="61" t="s">
        <v>610</v>
      </c>
      <c r="I165" s="61" t="s">
        <v>625</v>
      </c>
      <c r="J165" s="61" t="s">
        <v>114</v>
      </c>
      <c r="K165" s="64">
        <v>-30621</v>
      </c>
      <c r="L165" s="61"/>
      <c r="M165" s="65" t="s">
        <v>590</v>
      </c>
      <c r="N165" s="61"/>
      <c r="O165" s="61"/>
      <c r="P165" s="61"/>
      <c r="Q165" s="61"/>
      <c r="R165" s="61">
        <v>461316</v>
      </c>
      <c r="S165" s="66" t="s">
        <v>608</v>
      </c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 s="61" t="s">
        <v>537</v>
      </c>
      <c r="B166" s="62">
        <v>45706</v>
      </c>
      <c r="C166" s="63" t="s">
        <v>751</v>
      </c>
      <c r="D166" s="67"/>
      <c r="E166" s="67">
        <v>-217114</v>
      </c>
      <c r="F166" s="61" t="str">
        <f t="shared" si="2"/>
        <v>借</v>
      </c>
      <c r="G166" s="64">
        <f>SUM(D$6:E166)</f>
        <v>122136358</v>
      </c>
      <c r="H166" s="61" t="s">
        <v>610</v>
      </c>
      <c r="I166" s="61" t="s">
        <v>625</v>
      </c>
      <c r="J166" s="61" t="s">
        <v>114</v>
      </c>
      <c r="K166" s="64">
        <v>-217114</v>
      </c>
      <c r="L166" s="61"/>
      <c r="M166" s="65" t="s">
        <v>590</v>
      </c>
      <c r="N166" s="61"/>
      <c r="O166" s="61"/>
      <c r="P166" s="61"/>
      <c r="Q166" s="61"/>
      <c r="R166" s="61">
        <v>461542</v>
      </c>
      <c r="S166" s="66" t="s">
        <v>608</v>
      </c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 s="61" t="s">
        <v>537</v>
      </c>
      <c r="B167" s="62">
        <v>45708</v>
      </c>
      <c r="C167" s="63" t="s">
        <v>752</v>
      </c>
      <c r="D167" s="67"/>
      <c r="E167" s="67">
        <v>-126895</v>
      </c>
      <c r="F167" s="61" t="str">
        <f t="shared" si="2"/>
        <v>借</v>
      </c>
      <c r="G167" s="64">
        <f>SUM(D$6:E167)</f>
        <v>122009463</v>
      </c>
      <c r="H167" s="61" t="s">
        <v>610</v>
      </c>
      <c r="I167" s="61" t="s">
        <v>625</v>
      </c>
      <c r="J167" s="61" t="s">
        <v>114</v>
      </c>
      <c r="K167" s="64">
        <v>-126895</v>
      </c>
      <c r="L167" s="61"/>
      <c r="M167" s="65" t="s">
        <v>590</v>
      </c>
      <c r="N167" s="61"/>
      <c r="O167" s="61"/>
      <c r="P167" s="61"/>
      <c r="Q167" s="61"/>
      <c r="R167" s="61">
        <v>462349</v>
      </c>
      <c r="S167" s="66" t="s">
        <v>608</v>
      </c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 s="61" t="s">
        <v>537</v>
      </c>
      <c r="B168" s="62">
        <v>45709</v>
      </c>
      <c r="C168" s="63" t="s">
        <v>753</v>
      </c>
      <c r="D168" s="67">
        <v>38776</v>
      </c>
      <c r="E168" s="67"/>
      <c r="F168" s="61" t="str">
        <f t="shared" si="2"/>
        <v>借</v>
      </c>
      <c r="G168" s="64">
        <f>SUM(D$6:E168)</f>
        <v>122048239</v>
      </c>
      <c r="H168" s="61" t="s">
        <v>610</v>
      </c>
      <c r="I168" s="61" t="s">
        <v>620</v>
      </c>
      <c r="J168" s="61" t="s">
        <v>114</v>
      </c>
      <c r="K168" s="64">
        <v>38776</v>
      </c>
      <c r="L168" s="61"/>
      <c r="M168" s="65" t="s">
        <v>590</v>
      </c>
      <c r="N168" s="61"/>
      <c r="O168" s="61"/>
      <c r="P168" s="61"/>
      <c r="Q168" s="61"/>
      <c r="R168" s="61">
        <v>462869</v>
      </c>
      <c r="S168" s="66" t="s">
        <v>608</v>
      </c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 s="61" t="s">
        <v>537</v>
      </c>
      <c r="B169" s="62">
        <v>45712</v>
      </c>
      <c r="C169" s="63" t="s">
        <v>754</v>
      </c>
      <c r="D169" s="67"/>
      <c r="E169" s="67">
        <v>-209817</v>
      </c>
      <c r="F169" s="61" t="str">
        <f t="shared" si="2"/>
        <v>借</v>
      </c>
      <c r="G169" s="64">
        <f>SUM(D$6:E169)</f>
        <v>121838422</v>
      </c>
      <c r="H169" s="61" t="s">
        <v>610</v>
      </c>
      <c r="I169" s="61" t="s">
        <v>625</v>
      </c>
      <c r="J169" s="61" t="s">
        <v>114</v>
      </c>
      <c r="K169" s="64">
        <v>-209817</v>
      </c>
      <c r="L169" s="61"/>
      <c r="M169" s="65" t="s">
        <v>590</v>
      </c>
      <c r="N169" s="61"/>
      <c r="O169" s="61"/>
      <c r="P169" s="61"/>
      <c r="Q169" s="61"/>
      <c r="R169" s="61">
        <v>463201</v>
      </c>
      <c r="S169" s="66" t="s">
        <v>608</v>
      </c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 s="61" t="s">
        <v>537</v>
      </c>
      <c r="B170" s="62">
        <v>45713</v>
      </c>
      <c r="C170" s="63" t="s">
        <v>755</v>
      </c>
      <c r="D170" s="67"/>
      <c r="E170" s="67">
        <v>-259677</v>
      </c>
      <c r="F170" s="61" t="str">
        <f t="shared" si="2"/>
        <v>借</v>
      </c>
      <c r="G170" s="64">
        <f>SUM(D$6:E170)</f>
        <v>121578745</v>
      </c>
      <c r="H170" s="61" t="s">
        <v>610</v>
      </c>
      <c r="I170" s="61" t="s">
        <v>625</v>
      </c>
      <c r="J170" s="61" t="s">
        <v>114</v>
      </c>
      <c r="K170" s="64">
        <v>-259677</v>
      </c>
      <c r="L170" s="61"/>
      <c r="M170" s="65" t="s">
        <v>590</v>
      </c>
      <c r="N170" s="61"/>
      <c r="O170" s="61"/>
      <c r="P170" s="61"/>
      <c r="Q170" s="61"/>
      <c r="R170" s="61">
        <v>463639</v>
      </c>
      <c r="S170" s="66" t="s">
        <v>608</v>
      </c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 s="61" t="s">
        <v>537</v>
      </c>
      <c r="B171" s="62">
        <v>45714</v>
      </c>
      <c r="C171" s="63" t="s">
        <v>756</v>
      </c>
      <c r="D171" s="67">
        <v>14216</v>
      </c>
      <c r="E171" s="67"/>
      <c r="F171" s="61" t="str">
        <f t="shared" si="2"/>
        <v>借</v>
      </c>
      <c r="G171" s="64">
        <f>SUM(D$6:E171)</f>
        <v>121592961</v>
      </c>
      <c r="H171" s="61" t="s">
        <v>610</v>
      </c>
      <c r="I171" s="61" t="s">
        <v>620</v>
      </c>
      <c r="J171" s="61" t="s">
        <v>114</v>
      </c>
      <c r="K171" s="64">
        <v>14216</v>
      </c>
      <c r="L171" s="61"/>
      <c r="M171" s="65" t="s">
        <v>590</v>
      </c>
      <c r="N171" s="61"/>
      <c r="O171" s="61"/>
      <c r="P171" s="61"/>
      <c r="Q171" s="61"/>
      <c r="R171" s="61">
        <v>464935</v>
      </c>
      <c r="S171" s="66" t="s">
        <v>608</v>
      </c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 s="61" t="s">
        <v>537</v>
      </c>
      <c r="B172" s="62">
        <v>45715</v>
      </c>
      <c r="C172" s="63" t="s">
        <v>763</v>
      </c>
      <c r="D172" s="67"/>
      <c r="E172" s="67">
        <v>-18589</v>
      </c>
      <c r="F172" s="61" t="str">
        <f t="shared" si="2"/>
        <v>借</v>
      </c>
      <c r="G172" s="64">
        <f>SUM(D$6:E172)</f>
        <v>121574372</v>
      </c>
      <c r="H172" s="61" t="s">
        <v>610</v>
      </c>
      <c r="I172" s="61" t="s">
        <v>760</v>
      </c>
      <c r="J172" s="61" t="s">
        <v>114</v>
      </c>
      <c r="K172" s="64">
        <v>-18589</v>
      </c>
      <c r="L172" s="61"/>
      <c r="M172" s="65" t="s">
        <v>590</v>
      </c>
      <c r="N172" s="61"/>
      <c r="O172" s="61"/>
      <c r="P172" s="61"/>
      <c r="Q172" s="61"/>
      <c r="R172" s="61">
        <v>465746</v>
      </c>
      <c r="S172" s="66" t="s">
        <v>608</v>
      </c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 s="61" t="s">
        <v>537</v>
      </c>
      <c r="B173" s="62">
        <v>45715</v>
      </c>
      <c r="C173" s="63" t="s">
        <v>762</v>
      </c>
      <c r="D173" s="67"/>
      <c r="E173" s="67">
        <v>-6708</v>
      </c>
      <c r="F173" s="61" t="str">
        <f t="shared" si="2"/>
        <v>借</v>
      </c>
      <c r="G173" s="64">
        <f>SUM(D$6:E173)</f>
        <v>121567664</v>
      </c>
      <c r="H173" s="61" t="s">
        <v>606</v>
      </c>
      <c r="I173" s="61" t="s">
        <v>760</v>
      </c>
      <c r="J173" s="61" t="s">
        <v>114</v>
      </c>
      <c r="K173" s="64">
        <v>-6708</v>
      </c>
      <c r="L173" s="61"/>
      <c r="M173" s="65" t="s">
        <v>590</v>
      </c>
      <c r="N173" s="61"/>
      <c r="O173" s="61"/>
      <c r="P173" s="61"/>
      <c r="Q173" s="61"/>
      <c r="R173" s="61">
        <v>465746</v>
      </c>
      <c r="S173" s="66" t="s">
        <v>608</v>
      </c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 s="61" t="s">
        <v>537</v>
      </c>
      <c r="B174" s="62">
        <v>45715</v>
      </c>
      <c r="C174" s="63" t="s">
        <v>759</v>
      </c>
      <c r="D174" s="67">
        <v>3730</v>
      </c>
      <c r="E174" s="67"/>
      <c r="F174" s="61" t="str">
        <f t="shared" si="2"/>
        <v>借</v>
      </c>
      <c r="G174" s="64">
        <f>SUM(D$6:E174)</f>
        <v>121571394</v>
      </c>
      <c r="H174" s="61" t="s">
        <v>606</v>
      </c>
      <c r="I174" s="61" t="s">
        <v>760</v>
      </c>
      <c r="J174" s="61" t="s">
        <v>114</v>
      </c>
      <c r="K174" s="64">
        <v>3730</v>
      </c>
      <c r="L174" s="61"/>
      <c r="M174" s="65" t="s">
        <v>590</v>
      </c>
      <c r="N174" s="61"/>
      <c r="O174" s="61"/>
      <c r="P174" s="61"/>
      <c r="Q174" s="61"/>
      <c r="R174" s="61">
        <v>465746</v>
      </c>
      <c r="S174" s="66" t="s">
        <v>608</v>
      </c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 s="61" t="s">
        <v>537</v>
      </c>
      <c r="B175" s="62">
        <v>45715</v>
      </c>
      <c r="C175" s="63" t="s">
        <v>761</v>
      </c>
      <c r="D175" s="67">
        <v>12838</v>
      </c>
      <c r="E175" s="67"/>
      <c r="F175" s="61" t="str">
        <f t="shared" si="2"/>
        <v>借</v>
      </c>
      <c r="G175" s="64">
        <f>SUM(D$6:E175)</f>
        <v>121584232</v>
      </c>
      <c r="H175" s="61" t="s">
        <v>610</v>
      </c>
      <c r="I175" s="61" t="s">
        <v>760</v>
      </c>
      <c r="J175" s="61" t="s">
        <v>114</v>
      </c>
      <c r="K175" s="64">
        <v>12838</v>
      </c>
      <c r="L175" s="61"/>
      <c r="M175" s="65" t="s">
        <v>590</v>
      </c>
      <c r="N175" s="61"/>
      <c r="O175" s="61"/>
      <c r="P175" s="61"/>
      <c r="Q175" s="61"/>
      <c r="R175" s="61">
        <v>465746</v>
      </c>
      <c r="S175" s="66" t="s">
        <v>608</v>
      </c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 s="61" t="s">
        <v>537</v>
      </c>
      <c r="B176" s="62">
        <v>45715</v>
      </c>
      <c r="C176" s="63" t="s">
        <v>757</v>
      </c>
      <c r="D176" s="67">
        <v>47179</v>
      </c>
      <c r="E176" s="67"/>
      <c r="F176" s="61" t="str">
        <f t="shared" si="2"/>
        <v>借</v>
      </c>
      <c r="G176" s="64">
        <f>SUM(D$6:E176)</f>
        <v>121631411</v>
      </c>
      <c r="H176" s="61" t="s">
        <v>606</v>
      </c>
      <c r="I176" s="61" t="s">
        <v>620</v>
      </c>
      <c r="J176" s="61" t="s">
        <v>114</v>
      </c>
      <c r="K176" s="64">
        <v>47179</v>
      </c>
      <c r="L176" s="61"/>
      <c r="M176" s="65" t="s">
        <v>590</v>
      </c>
      <c r="N176" s="61"/>
      <c r="O176" s="61"/>
      <c r="P176" s="61"/>
      <c r="Q176" s="61"/>
      <c r="R176" s="61">
        <v>464301</v>
      </c>
      <c r="S176" s="66" t="s">
        <v>608</v>
      </c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 s="61" t="s">
        <v>537</v>
      </c>
      <c r="B177" s="62">
        <v>45715</v>
      </c>
      <c r="C177" s="63" t="s">
        <v>758</v>
      </c>
      <c r="D177" s="67">
        <v>48414</v>
      </c>
      <c r="E177" s="67"/>
      <c r="F177" s="61" t="str">
        <f t="shared" si="2"/>
        <v>借</v>
      </c>
      <c r="G177" s="64">
        <f>SUM(D$6:E177)</f>
        <v>121679825</v>
      </c>
      <c r="H177" s="61" t="s">
        <v>610</v>
      </c>
      <c r="I177" s="61" t="s">
        <v>620</v>
      </c>
      <c r="J177" s="61" t="s">
        <v>114</v>
      </c>
      <c r="K177" s="64">
        <v>48414</v>
      </c>
      <c r="L177" s="61"/>
      <c r="M177" s="65" t="s">
        <v>590</v>
      </c>
      <c r="N177" s="61"/>
      <c r="O177" s="61"/>
      <c r="P177" s="61"/>
      <c r="Q177" s="61"/>
      <c r="R177" s="61">
        <v>464301</v>
      </c>
      <c r="S177" s="66" t="s">
        <v>608</v>
      </c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 s="61" t="s">
        <v>537</v>
      </c>
      <c r="B178" s="62">
        <v>45719</v>
      </c>
      <c r="C178" s="63" t="s">
        <v>764</v>
      </c>
      <c r="D178" s="67">
        <v>233949</v>
      </c>
      <c r="E178" s="67"/>
      <c r="F178" s="61" t="str">
        <f t="shared" si="2"/>
        <v>借</v>
      </c>
      <c r="G178" s="64">
        <f>SUM(D$6:E178)</f>
        <v>121913774</v>
      </c>
      <c r="H178" s="61" t="s">
        <v>606</v>
      </c>
      <c r="I178" s="61" t="s">
        <v>620</v>
      </c>
      <c r="J178" s="61" t="s">
        <v>114</v>
      </c>
      <c r="K178" s="64">
        <v>233949</v>
      </c>
      <c r="L178" s="61"/>
      <c r="M178" s="65" t="s">
        <v>590</v>
      </c>
      <c r="N178" s="61"/>
      <c r="O178" s="61"/>
      <c r="P178" s="61"/>
      <c r="Q178" s="61"/>
      <c r="R178" s="61">
        <v>464713</v>
      </c>
      <c r="S178" s="66" t="s">
        <v>608</v>
      </c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 s="61" t="s">
        <v>537</v>
      </c>
      <c r="B179" s="62">
        <v>45719</v>
      </c>
      <c r="C179" s="63" t="s">
        <v>765</v>
      </c>
      <c r="D179" s="67">
        <v>425263</v>
      </c>
      <c r="E179" s="67"/>
      <c r="F179" s="61" t="str">
        <f t="shared" si="2"/>
        <v>借</v>
      </c>
      <c r="G179" s="64">
        <f>SUM(D$6:E179)</f>
        <v>122339037</v>
      </c>
      <c r="H179" s="61" t="s">
        <v>610</v>
      </c>
      <c r="I179" s="61" t="s">
        <v>620</v>
      </c>
      <c r="J179" s="61" t="s">
        <v>114</v>
      </c>
      <c r="K179" s="64">
        <v>425263</v>
      </c>
      <c r="L179" s="61"/>
      <c r="M179" s="65" t="s">
        <v>590</v>
      </c>
      <c r="N179" s="61"/>
      <c r="O179" s="61"/>
      <c r="P179" s="61"/>
      <c r="Q179" s="61"/>
      <c r="R179" s="61">
        <v>464713</v>
      </c>
      <c r="S179" s="66" t="s">
        <v>608</v>
      </c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 s="61" t="s">
        <v>537</v>
      </c>
      <c r="B180" s="62">
        <v>45720</v>
      </c>
      <c r="C180" s="63" t="s">
        <v>767</v>
      </c>
      <c r="D180" s="67"/>
      <c r="E180" s="67">
        <v>-103772</v>
      </c>
      <c r="F180" s="61" t="str">
        <f t="shared" si="2"/>
        <v>借</v>
      </c>
      <c r="G180" s="64">
        <f>SUM(D$6:E180)</f>
        <v>122235265</v>
      </c>
      <c r="H180" s="61" t="s">
        <v>610</v>
      </c>
      <c r="I180" s="61" t="s">
        <v>625</v>
      </c>
      <c r="J180" s="61" t="s">
        <v>114</v>
      </c>
      <c r="K180" s="64">
        <v>-103772</v>
      </c>
      <c r="L180" s="61"/>
      <c r="M180" s="65" t="s">
        <v>590</v>
      </c>
      <c r="N180" s="61"/>
      <c r="O180" s="61"/>
      <c r="P180" s="61"/>
      <c r="Q180" s="61"/>
      <c r="R180" s="61">
        <v>465204</v>
      </c>
      <c r="S180" s="66" t="s">
        <v>608</v>
      </c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 s="61" t="s">
        <v>537</v>
      </c>
      <c r="B181" s="62">
        <v>45720</v>
      </c>
      <c r="C181" s="63" t="s">
        <v>766</v>
      </c>
      <c r="D181" s="67">
        <v>78632</v>
      </c>
      <c r="E181" s="67"/>
      <c r="F181" s="61" t="str">
        <f t="shared" si="2"/>
        <v>借</v>
      </c>
      <c r="G181" s="64">
        <f>SUM(D$6:E181)</f>
        <v>122313897</v>
      </c>
      <c r="H181" s="61" t="s">
        <v>606</v>
      </c>
      <c r="I181" s="61" t="s">
        <v>620</v>
      </c>
      <c r="J181" s="61" t="s">
        <v>114</v>
      </c>
      <c r="K181" s="64">
        <v>78632</v>
      </c>
      <c r="L181" s="61"/>
      <c r="M181" s="65" t="s">
        <v>590</v>
      </c>
      <c r="N181" s="61"/>
      <c r="O181" s="61"/>
      <c r="P181" s="61"/>
      <c r="Q181" s="61"/>
      <c r="R181" s="61">
        <v>465204</v>
      </c>
      <c r="S181" s="66" t="s">
        <v>608</v>
      </c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 s="61" t="s">
        <v>537</v>
      </c>
      <c r="B182" s="62">
        <v>45726</v>
      </c>
      <c r="C182" s="63" t="s">
        <v>768</v>
      </c>
      <c r="D182" s="67">
        <v>21116</v>
      </c>
      <c r="E182" s="67"/>
      <c r="F182" s="61" t="str">
        <f t="shared" si="2"/>
        <v>借</v>
      </c>
      <c r="G182" s="64">
        <f>SUM(D$6:E182)</f>
        <v>122335013</v>
      </c>
      <c r="H182" s="61" t="s">
        <v>610</v>
      </c>
      <c r="I182" s="61" t="s">
        <v>620</v>
      </c>
      <c r="J182" s="61" t="s">
        <v>114</v>
      </c>
      <c r="K182" s="64">
        <v>21116</v>
      </c>
      <c r="L182" s="61"/>
      <c r="M182" s="65" t="s">
        <v>590</v>
      </c>
      <c r="N182" s="61"/>
      <c r="O182" s="61"/>
      <c r="P182" s="61"/>
      <c r="Q182" s="61"/>
      <c r="R182" s="61">
        <v>466180</v>
      </c>
      <c r="S182" s="66" t="s">
        <v>608</v>
      </c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 s="61" t="s">
        <v>537</v>
      </c>
      <c r="B183" s="62">
        <v>45726</v>
      </c>
      <c r="C183" s="63" t="s">
        <v>769</v>
      </c>
      <c r="D183" s="67">
        <v>21000000</v>
      </c>
      <c r="E183" s="67"/>
      <c r="F183" s="61" t="str">
        <f t="shared" si="2"/>
        <v>借</v>
      </c>
      <c r="G183" s="64">
        <f>SUM(D$6:E183)</f>
        <v>143335013</v>
      </c>
      <c r="H183" s="61"/>
      <c r="I183" s="61" t="s">
        <v>556</v>
      </c>
      <c r="J183" s="61" t="s">
        <v>114</v>
      </c>
      <c r="K183" s="64">
        <v>21000000</v>
      </c>
      <c r="L183" s="61" t="s">
        <v>549</v>
      </c>
      <c r="M183" s="65" t="s">
        <v>557</v>
      </c>
      <c r="N183" s="61"/>
      <c r="O183" s="61"/>
      <c r="P183" s="61"/>
      <c r="Q183" s="61"/>
      <c r="R183" s="61">
        <v>466548</v>
      </c>
      <c r="S183" s="66" t="s">
        <v>593</v>
      </c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 s="61" t="s">
        <v>537</v>
      </c>
      <c r="B184" s="62">
        <v>45727</v>
      </c>
      <c r="C184" s="63" t="s">
        <v>771</v>
      </c>
      <c r="D184" s="67"/>
      <c r="E184" s="67">
        <v>-75065</v>
      </c>
      <c r="F184" s="61" t="str">
        <f t="shared" si="2"/>
        <v>借</v>
      </c>
      <c r="G184" s="64">
        <f>SUM(D$6:E184)</f>
        <v>143259948</v>
      </c>
      <c r="H184" s="61" t="s">
        <v>606</v>
      </c>
      <c r="I184" s="61" t="s">
        <v>625</v>
      </c>
      <c r="J184" s="61" t="s">
        <v>114</v>
      </c>
      <c r="K184" s="64">
        <v>-75065</v>
      </c>
      <c r="L184" s="61"/>
      <c r="M184" s="65" t="s">
        <v>590</v>
      </c>
      <c r="N184" s="61"/>
      <c r="O184" s="61"/>
      <c r="P184" s="61"/>
      <c r="Q184" s="61"/>
      <c r="R184" s="61">
        <v>466288</v>
      </c>
      <c r="S184" s="66" t="s">
        <v>608</v>
      </c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 s="61" t="s">
        <v>537</v>
      </c>
      <c r="B185" s="62">
        <v>45727</v>
      </c>
      <c r="C185" s="63" t="s">
        <v>770</v>
      </c>
      <c r="D185" s="67">
        <v>69290</v>
      </c>
      <c r="E185" s="67"/>
      <c r="F185" s="61" t="str">
        <f t="shared" si="2"/>
        <v>借</v>
      </c>
      <c r="G185" s="64">
        <f>SUM(D$6:E185)</f>
        <v>143329238</v>
      </c>
      <c r="H185" s="61" t="s">
        <v>610</v>
      </c>
      <c r="I185" s="61" t="s">
        <v>625</v>
      </c>
      <c r="J185" s="61" t="s">
        <v>114</v>
      </c>
      <c r="K185" s="64">
        <v>69290</v>
      </c>
      <c r="L185" s="61"/>
      <c r="M185" s="65" t="s">
        <v>590</v>
      </c>
      <c r="N185" s="61"/>
      <c r="O185" s="61"/>
      <c r="P185" s="61"/>
      <c r="Q185" s="61"/>
      <c r="R185" s="61">
        <v>466288</v>
      </c>
      <c r="S185" s="66" t="s">
        <v>608</v>
      </c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 s="61" t="s">
        <v>537</v>
      </c>
      <c r="B186" s="62">
        <v>45728</v>
      </c>
      <c r="C186" s="63" t="s">
        <v>772</v>
      </c>
      <c r="D186" s="67"/>
      <c r="E186" s="67">
        <v>-93967</v>
      </c>
      <c r="F186" s="61" t="str">
        <f t="shared" si="2"/>
        <v>借</v>
      </c>
      <c r="G186" s="64">
        <f>SUM(D$6:E186)</f>
        <v>143235271</v>
      </c>
      <c r="H186" s="61" t="s">
        <v>610</v>
      </c>
      <c r="I186" s="61" t="s">
        <v>625</v>
      </c>
      <c r="J186" s="61" t="s">
        <v>114</v>
      </c>
      <c r="K186" s="64">
        <v>-93967</v>
      </c>
      <c r="L186" s="61"/>
      <c r="M186" s="65" t="s">
        <v>590</v>
      </c>
      <c r="N186" s="61"/>
      <c r="O186" s="61"/>
      <c r="P186" s="61"/>
      <c r="Q186" s="61"/>
      <c r="R186" s="61">
        <v>466457</v>
      </c>
      <c r="S186" s="66" t="s">
        <v>608</v>
      </c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 s="61" t="s">
        <v>537</v>
      </c>
      <c r="B187" s="62">
        <v>45728</v>
      </c>
      <c r="C187" s="63" t="s">
        <v>773</v>
      </c>
      <c r="D187" s="67">
        <v>4525</v>
      </c>
      <c r="E187" s="67"/>
      <c r="F187" s="61" t="str">
        <f t="shared" si="2"/>
        <v>借</v>
      </c>
      <c r="G187" s="64">
        <f>SUM(D$6:E187)</f>
        <v>143239796</v>
      </c>
      <c r="H187" s="61" t="s">
        <v>610</v>
      </c>
      <c r="I187" s="61" t="s">
        <v>620</v>
      </c>
      <c r="J187" s="61" t="s">
        <v>114</v>
      </c>
      <c r="K187" s="64">
        <v>4525</v>
      </c>
      <c r="L187" s="61"/>
      <c r="M187" s="65" t="s">
        <v>590</v>
      </c>
      <c r="N187" s="61"/>
      <c r="O187" s="61"/>
      <c r="P187" s="61"/>
      <c r="Q187" s="61"/>
      <c r="R187" s="61">
        <v>466457</v>
      </c>
      <c r="S187" s="66" t="s">
        <v>608</v>
      </c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 s="61" t="s">
        <v>537</v>
      </c>
      <c r="B188" s="62">
        <v>45729</v>
      </c>
      <c r="C188" s="63" t="s">
        <v>775</v>
      </c>
      <c r="D188" s="67"/>
      <c r="E188" s="67">
        <v>-148955</v>
      </c>
      <c r="F188" s="61" t="str">
        <f t="shared" si="2"/>
        <v>借</v>
      </c>
      <c r="G188" s="64">
        <f>SUM(D$6:E188)</f>
        <v>143090841</v>
      </c>
      <c r="H188" s="61" t="s">
        <v>610</v>
      </c>
      <c r="I188" s="61" t="s">
        <v>625</v>
      </c>
      <c r="J188" s="61" t="s">
        <v>114</v>
      </c>
      <c r="K188" s="64">
        <v>-148955</v>
      </c>
      <c r="L188" s="61"/>
      <c r="M188" s="65" t="s">
        <v>590</v>
      </c>
      <c r="N188" s="61"/>
      <c r="O188" s="61"/>
      <c r="P188" s="61"/>
      <c r="Q188" s="61"/>
      <c r="R188" s="61">
        <v>466710</v>
      </c>
      <c r="S188" s="66" t="s">
        <v>608</v>
      </c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 s="61" t="s">
        <v>537</v>
      </c>
      <c r="B189" s="62">
        <v>45729</v>
      </c>
      <c r="C189" s="63" t="s">
        <v>774</v>
      </c>
      <c r="D189" s="67">
        <v>32304</v>
      </c>
      <c r="E189" s="67"/>
      <c r="F189" s="61" t="str">
        <f t="shared" si="2"/>
        <v>借</v>
      </c>
      <c r="G189" s="64">
        <f>SUM(D$6:E189)</f>
        <v>143123145</v>
      </c>
      <c r="H189" s="61" t="s">
        <v>606</v>
      </c>
      <c r="I189" s="61" t="s">
        <v>625</v>
      </c>
      <c r="J189" s="61" t="s">
        <v>114</v>
      </c>
      <c r="K189" s="64">
        <v>32304</v>
      </c>
      <c r="L189" s="61"/>
      <c r="M189" s="65" t="s">
        <v>590</v>
      </c>
      <c r="N189" s="61"/>
      <c r="O189" s="61"/>
      <c r="P189" s="61"/>
      <c r="Q189" s="61"/>
      <c r="R189" s="61">
        <v>466710</v>
      </c>
      <c r="S189" s="66" t="s">
        <v>608</v>
      </c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 s="61" t="s">
        <v>537</v>
      </c>
      <c r="B190" s="62">
        <v>45733</v>
      </c>
      <c r="C190" s="63" t="s">
        <v>776</v>
      </c>
      <c r="D190" s="67"/>
      <c r="E190" s="67">
        <v>-460024</v>
      </c>
      <c r="F190" s="61" t="str">
        <f t="shared" si="2"/>
        <v>借</v>
      </c>
      <c r="G190" s="64">
        <f>SUM(D$6:E190)</f>
        <v>142663121</v>
      </c>
      <c r="H190" s="61" t="s">
        <v>610</v>
      </c>
      <c r="I190" s="61" t="s">
        <v>625</v>
      </c>
      <c r="J190" s="61" t="s">
        <v>114</v>
      </c>
      <c r="K190" s="64">
        <v>-460024</v>
      </c>
      <c r="L190" s="61"/>
      <c r="M190" s="65" t="s">
        <v>590</v>
      </c>
      <c r="N190" s="61"/>
      <c r="O190" s="61"/>
      <c r="P190" s="61"/>
      <c r="Q190" s="61"/>
      <c r="R190" s="61">
        <v>467240</v>
      </c>
      <c r="S190" s="66" t="s">
        <v>608</v>
      </c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 s="61" t="s">
        <v>537</v>
      </c>
      <c r="B191" s="62">
        <v>45734</v>
      </c>
      <c r="C191" s="63" t="s">
        <v>777</v>
      </c>
      <c r="D191" s="67">
        <v>184931</v>
      </c>
      <c r="E191" s="67"/>
      <c r="F191" s="61" t="str">
        <f t="shared" si="2"/>
        <v>借</v>
      </c>
      <c r="G191" s="64">
        <f>SUM(D$6:E191)</f>
        <v>142848052</v>
      </c>
      <c r="H191" s="61" t="s">
        <v>606</v>
      </c>
      <c r="I191" s="61" t="s">
        <v>620</v>
      </c>
      <c r="J191" s="61" t="s">
        <v>114</v>
      </c>
      <c r="K191" s="64">
        <v>184931</v>
      </c>
      <c r="L191" s="61"/>
      <c r="M191" s="65" t="s">
        <v>590</v>
      </c>
      <c r="N191" s="61"/>
      <c r="O191" s="61"/>
      <c r="P191" s="61"/>
      <c r="Q191" s="61"/>
      <c r="R191" s="61">
        <v>467495</v>
      </c>
      <c r="S191" s="66" t="s">
        <v>608</v>
      </c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 s="61" t="s">
        <v>537</v>
      </c>
      <c r="B192" s="62">
        <v>45735</v>
      </c>
      <c r="C192" s="63" t="s">
        <v>779</v>
      </c>
      <c r="D192" s="67"/>
      <c r="E192" s="67">
        <v>-48131</v>
      </c>
      <c r="F192" s="61" t="str">
        <f t="shared" si="2"/>
        <v>借</v>
      </c>
      <c r="G192" s="64">
        <f>SUM(D$6:E192)</f>
        <v>142799921</v>
      </c>
      <c r="H192" s="61" t="s">
        <v>610</v>
      </c>
      <c r="I192" s="61" t="s">
        <v>625</v>
      </c>
      <c r="J192" s="61" t="s">
        <v>114</v>
      </c>
      <c r="K192" s="64">
        <v>-48131</v>
      </c>
      <c r="L192" s="61"/>
      <c r="M192" s="65" t="s">
        <v>590</v>
      </c>
      <c r="N192" s="61"/>
      <c r="O192" s="61"/>
      <c r="P192" s="61"/>
      <c r="Q192" s="61"/>
      <c r="R192" s="61">
        <v>467623</v>
      </c>
      <c r="S192" s="66" t="s">
        <v>608</v>
      </c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 s="61" t="s">
        <v>537</v>
      </c>
      <c r="B193" s="62">
        <v>45735</v>
      </c>
      <c r="C193" s="63" t="s">
        <v>778</v>
      </c>
      <c r="D193" s="67">
        <v>77708</v>
      </c>
      <c r="E193" s="67"/>
      <c r="F193" s="61" t="str">
        <f t="shared" si="2"/>
        <v>借</v>
      </c>
      <c r="G193" s="64">
        <f>SUM(D$6:E193)</f>
        <v>142877629</v>
      </c>
      <c r="H193" s="61" t="s">
        <v>606</v>
      </c>
      <c r="I193" s="61" t="s">
        <v>620</v>
      </c>
      <c r="J193" s="61" t="s">
        <v>114</v>
      </c>
      <c r="K193" s="64">
        <v>77708</v>
      </c>
      <c r="L193" s="61"/>
      <c r="M193" s="65" t="s">
        <v>590</v>
      </c>
      <c r="N193" s="61"/>
      <c r="O193" s="61"/>
      <c r="P193" s="61"/>
      <c r="Q193" s="61"/>
      <c r="R193" s="61">
        <v>467623</v>
      </c>
      <c r="S193" s="66" t="s">
        <v>608</v>
      </c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 s="61" t="s">
        <v>537</v>
      </c>
      <c r="B194" s="62">
        <v>45736</v>
      </c>
      <c r="C194" s="63" t="s">
        <v>780</v>
      </c>
      <c r="D194" s="67"/>
      <c r="E194" s="67">
        <v>-80897</v>
      </c>
      <c r="F194" s="61" t="str">
        <f t="shared" si="2"/>
        <v>借</v>
      </c>
      <c r="G194" s="64">
        <f>SUM(D$6:E194)</f>
        <v>142796732</v>
      </c>
      <c r="H194" s="61" t="s">
        <v>610</v>
      </c>
      <c r="I194" s="61" t="s">
        <v>625</v>
      </c>
      <c r="J194" s="61" t="s">
        <v>114</v>
      </c>
      <c r="K194" s="64">
        <v>-80897</v>
      </c>
      <c r="L194" s="61"/>
      <c r="M194" s="65" t="s">
        <v>590</v>
      </c>
      <c r="N194" s="61"/>
      <c r="O194" s="61"/>
      <c r="P194" s="61"/>
      <c r="Q194" s="61"/>
      <c r="R194" s="61">
        <v>468135</v>
      </c>
      <c r="S194" s="66" t="s">
        <v>608</v>
      </c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 s="61" t="s">
        <v>537</v>
      </c>
      <c r="B195" s="62">
        <v>45736</v>
      </c>
      <c r="C195" s="63" t="s">
        <v>781</v>
      </c>
      <c r="D195" s="67">
        <v>52594</v>
      </c>
      <c r="E195" s="67"/>
      <c r="F195" s="61" t="str">
        <f t="shared" si="2"/>
        <v>借</v>
      </c>
      <c r="G195" s="64">
        <f>SUM(D$6:E195)</f>
        <v>142849326</v>
      </c>
      <c r="H195" s="61" t="s">
        <v>606</v>
      </c>
      <c r="I195" s="61" t="s">
        <v>620</v>
      </c>
      <c r="J195" s="61" t="s">
        <v>114</v>
      </c>
      <c r="K195" s="64">
        <v>52594</v>
      </c>
      <c r="L195" s="61"/>
      <c r="M195" s="65" t="s">
        <v>590</v>
      </c>
      <c r="N195" s="61"/>
      <c r="O195" s="61"/>
      <c r="P195" s="61"/>
      <c r="Q195" s="61"/>
      <c r="R195" s="61">
        <v>468135</v>
      </c>
      <c r="S195" s="66" t="s">
        <v>608</v>
      </c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 s="61" t="s">
        <v>537</v>
      </c>
      <c r="B196" s="62">
        <v>45737</v>
      </c>
      <c r="C196" s="63" t="s">
        <v>782</v>
      </c>
      <c r="D196" s="67"/>
      <c r="E196" s="67">
        <v>-96682</v>
      </c>
      <c r="F196" s="61" t="str">
        <f t="shared" si="2"/>
        <v>借</v>
      </c>
      <c r="G196" s="64">
        <f>SUM(D$6:E196)</f>
        <v>142752644</v>
      </c>
      <c r="H196" s="61" t="s">
        <v>606</v>
      </c>
      <c r="I196" s="61" t="s">
        <v>625</v>
      </c>
      <c r="J196" s="61" t="s">
        <v>114</v>
      </c>
      <c r="K196" s="64">
        <v>-96682</v>
      </c>
      <c r="L196" s="61"/>
      <c r="M196" s="65" t="s">
        <v>590</v>
      </c>
      <c r="N196" s="61"/>
      <c r="O196" s="61"/>
      <c r="P196" s="61"/>
      <c r="Q196" s="61"/>
      <c r="R196" s="61">
        <v>468645</v>
      </c>
      <c r="S196" s="66" t="s">
        <v>783</v>
      </c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 s="61" t="s">
        <v>537</v>
      </c>
      <c r="B197" s="62">
        <v>45737</v>
      </c>
      <c r="C197" s="63" t="s">
        <v>784</v>
      </c>
      <c r="D197" s="67"/>
      <c r="E197" s="67">
        <v>-96682</v>
      </c>
      <c r="F197" s="61" t="str">
        <f t="shared" si="2"/>
        <v>借</v>
      </c>
      <c r="G197" s="64">
        <f>SUM(D$6:E197)</f>
        <v>142655962</v>
      </c>
      <c r="H197" s="61" t="s">
        <v>610</v>
      </c>
      <c r="I197" s="61" t="s">
        <v>625</v>
      </c>
      <c r="J197" s="61" t="s">
        <v>114</v>
      </c>
      <c r="K197" s="64">
        <v>-96682</v>
      </c>
      <c r="L197" s="61"/>
      <c r="M197" s="65" t="s">
        <v>590</v>
      </c>
      <c r="N197" s="61"/>
      <c r="O197" s="61"/>
      <c r="P197" s="61"/>
      <c r="Q197" s="61"/>
      <c r="R197" s="61">
        <v>468645</v>
      </c>
      <c r="S197" s="66" t="s">
        <v>783</v>
      </c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 s="61" t="s">
        <v>537</v>
      </c>
      <c r="B198" s="62">
        <v>45740</v>
      </c>
      <c r="C198" s="63" t="s">
        <v>785</v>
      </c>
      <c r="D198" s="67"/>
      <c r="E198" s="67">
        <v>-81397</v>
      </c>
      <c r="F198" s="61" t="str">
        <f t="shared" si="2"/>
        <v>借</v>
      </c>
      <c r="G198" s="64">
        <f>SUM(D$6:E198)</f>
        <v>142574565</v>
      </c>
      <c r="H198" s="61" t="s">
        <v>610</v>
      </c>
      <c r="I198" s="61" t="s">
        <v>625</v>
      </c>
      <c r="J198" s="61" t="s">
        <v>114</v>
      </c>
      <c r="K198" s="64">
        <v>-81397</v>
      </c>
      <c r="L198" s="61"/>
      <c r="M198" s="65" t="s">
        <v>590</v>
      </c>
      <c r="N198" s="61"/>
      <c r="O198" s="61"/>
      <c r="P198" s="61"/>
      <c r="Q198" s="61"/>
      <c r="R198" s="61">
        <v>469070</v>
      </c>
      <c r="S198" s="66" t="s">
        <v>783</v>
      </c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 s="61" t="s">
        <v>537</v>
      </c>
      <c r="B199" s="62">
        <v>45740</v>
      </c>
      <c r="C199" s="63" t="s">
        <v>786</v>
      </c>
      <c r="D199" s="67">
        <v>321385</v>
      </c>
      <c r="E199" s="67"/>
      <c r="F199" s="61" t="str">
        <f t="shared" ref="F199:F262" si="3">IF(G199&gt;0,"借","貸")</f>
        <v>借</v>
      </c>
      <c r="G199" s="64">
        <f>SUM(D$6:E199)</f>
        <v>142895950</v>
      </c>
      <c r="H199" s="61" t="s">
        <v>606</v>
      </c>
      <c r="I199" s="61" t="s">
        <v>620</v>
      </c>
      <c r="J199" s="61" t="s">
        <v>114</v>
      </c>
      <c r="K199" s="64">
        <v>321385</v>
      </c>
      <c r="L199" s="61"/>
      <c r="M199" s="65" t="s">
        <v>590</v>
      </c>
      <c r="N199" s="61"/>
      <c r="O199" s="61"/>
      <c r="P199" s="61"/>
      <c r="Q199" s="61"/>
      <c r="R199" s="61">
        <v>469070</v>
      </c>
      <c r="S199" s="66" t="s">
        <v>783</v>
      </c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 s="61" t="s">
        <v>537</v>
      </c>
      <c r="B200" s="62">
        <v>45747</v>
      </c>
      <c r="C200" s="63" t="s">
        <v>792</v>
      </c>
      <c r="D200" s="67"/>
      <c r="E200" s="67">
        <v>-22112</v>
      </c>
      <c r="F200" s="61" t="str">
        <f t="shared" si="3"/>
        <v>借</v>
      </c>
      <c r="G200" s="64">
        <f>SUM(D$6:E200)</f>
        <v>142873838</v>
      </c>
      <c r="H200" s="61" t="s">
        <v>610</v>
      </c>
      <c r="I200" s="61" t="s">
        <v>788</v>
      </c>
      <c r="J200" s="61" t="s">
        <v>114</v>
      </c>
      <c r="K200" s="64">
        <v>-22112</v>
      </c>
      <c r="L200" s="61"/>
      <c r="M200" s="65" t="s">
        <v>590</v>
      </c>
      <c r="N200" s="61"/>
      <c r="O200" s="61"/>
      <c r="P200" s="61"/>
      <c r="Q200" s="61"/>
      <c r="R200" s="61">
        <v>471373</v>
      </c>
      <c r="S200" s="66" t="s">
        <v>783</v>
      </c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 s="61" t="s">
        <v>537</v>
      </c>
      <c r="B201" s="62">
        <v>45747</v>
      </c>
      <c r="C201" s="63" t="s">
        <v>790</v>
      </c>
      <c r="D201" s="67"/>
      <c r="E201" s="67">
        <v>-19764</v>
      </c>
      <c r="F201" s="61" t="str">
        <f t="shared" si="3"/>
        <v>借</v>
      </c>
      <c r="G201" s="64">
        <f>SUM(D$6:E201)</f>
        <v>142854074</v>
      </c>
      <c r="H201" s="61" t="s">
        <v>610</v>
      </c>
      <c r="I201" s="61" t="s">
        <v>625</v>
      </c>
      <c r="J201" s="61" t="s">
        <v>114</v>
      </c>
      <c r="K201" s="64">
        <v>-19764</v>
      </c>
      <c r="L201" s="61"/>
      <c r="M201" s="65" t="s">
        <v>590</v>
      </c>
      <c r="N201" s="61"/>
      <c r="O201" s="61"/>
      <c r="P201" s="61"/>
      <c r="Q201" s="61"/>
      <c r="R201" s="61">
        <v>470416</v>
      </c>
      <c r="S201" s="66" t="s">
        <v>783</v>
      </c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 s="61" t="s">
        <v>537</v>
      </c>
      <c r="B202" s="62">
        <v>45747</v>
      </c>
      <c r="C202" s="63" t="s">
        <v>791</v>
      </c>
      <c r="D202" s="67"/>
      <c r="E202" s="67">
        <v>-8882</v>
      </c>
      <c r="F202" s="61" t="str">
        <f t="shared" si="3"/>
        <v>借</v>
      </c>
      <c r="G202" s="64">
        <f>SUM(D$6:E202)</f>
        <v>142845192</v>
      </c>
      <c r="H202" s="61" t="s">
        <v>606</v>
      </c>
      <c r="I202" s="61" t="s">
        <v>788</v>
      </c>
      <c r="J202" s="61" t="s">
        <v>114</v>
      </c>
      <c r="K202" s="64">
        <v>-8882</v>
      </c>
      <c r="L202" s="61"/>
      <c r="M202" s="65" t="s">
        <v>590</v>
      </c>
      <c r="N202" s="61"/>
      <c r="O202" s="61"/>
      <c r="P202" s="61"/>
      <c r="Q202" s="61"/>
      <c r="R202" s="61">
        <v>471373</v>
      </c>
      <c r="S202" s="66" t="s">
        <v>783</v>
      </c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 s="61" t="s">
        <v>537</v>
      </c>
      <c r="B203" s="62">
        <v>45747</v>
      </c>
      <c r="C203" s="63" t="s">
        <v>787</v>
      </c>
      <c r="D203" s="67">
        <v>4323</v>
      </c>
      <c r="E203" s="67"/>
      <c r="F203" s="61" t="str">
        <f t="shared" si="3"/>
        <v>借</v>
      </c>
      <c r="G203" s="64">
        <f>SUM(D$6:E203)</f>
        <v>142849515</v>
      </c>
      <c r="H203" s="61" t="s">
        <v>606</v>
      </c>
      <c r="I203" s="61" t="s">
        <v>788</v>
      </c>
      <c r="J203" s="61" t="s">
        <v>114</v>
      </c>
      <c r="K203" s="64">
        <v>4323</v>
      </c>
      <c r="L203" s="61"/>
      <c r="M203" s="65" t="s">
        <v>590</v>
      </c>
      <c r="N203" s="61"/>
      <c r="O203" s="61"/>
      <c r="P203" s="61"/>
      <c r="Q203" s="61"/>
      <c r="R203" s="61">
        <v>471373</v>
      </c>
      <c r="S203" s="66" t="s">
        <v>783</v>
      </c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 s="61" t="s">
        <v>537</v>
      </c>
      <c r="B204" s="62">
        <v>45747</v>
      </c>
      <c r="C204" s="63" t="s">
        <v>789</v>
      </c>
      <c r="D204" s="67">
        <v>16456</v>
      </c>
      <c r="E204" s="67"/>
      <c r="F204" s="61" t="str">
        <f t="shared" si="3"/>
        <v>借</v>
      </c>
      <c r="G204" s="64">
        <f>SUM(D$6:E204)</f>
        <v>142865971</v>
      </c>
      <c r="H204" s="61" t="s">
        <v>610</v>
      </c>
      <c r="I204" s="61" t="s">
        <v>788</v>
      </c>
      <c r="J204" s="61" t="s">
        <v>114</v>
      </c>
      <c r="K204" s="64">
        <v>16456</v>
      </c>
      <c r="L204" s="61"/>
      <c r="M204" s="65" t="s">
        <v>590</v>
      </c>
      <c r="N204" s="61"/>
      <c r="O204" s="61"/>
      <c r="P204" s="61"/>
      <c r="Q204" s="61"/>
      <c r="R204" s="61">
        <v>471373</v>
      </c>
      <c r="S204" s="66" t="s">
        <v>783</v>
      </c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 s="61" t="s">
        <v>537</v>
      </c>
      <c r="B205" s="62">
        <v>45748</v>
      </c>
      <c r="C205" s="63" t="s">
        <v>793</v>
      </c>
      <c r="D205" s="67">
        <v>28724</v>
      </c>
      <c r="E205" s="67"/>
      <c r="F205" s="61" t="str">
        <f t="shared" si="3"/>
        <v>借</v>
      </c>
      <c r="G205" s="64">
        <f>SUM(D$6:E205)</f>
        <v>142894695</v>
      </c>
      <c r="H205" s="61" t="s">
        <v>610</v>
      </c>
      <c r="I205" s="61" t="s">
        <v>620</v>
      </c>
      <c r="J205" s="61" t="s">
        <v>114</v>
      </c>
      <c r="K205" s="64">
        <v>28724</v>
      </c>
      <c r="L205" s="61"/>
      <c r="M205" s="65" t="s">
        <v>590</v>
      </c>
      <c r="N205" s="61"/>
      <c r="O205" s="61"/>
      <c r="P205" s="61"/>
      <c r="Q205" s="61"/>
      <c r="R205" s="61">
        <v>470735</v>
      </c>
      <c r="S205" s="66" t="s">
        <v>783</v>
      </c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 s="61" t="s">
        <v>537</v>
      </c>
      <c r="B206" s="62">
        <v>45754</v>
      </c>
      <c r="C206" s="63" t="s">
        <v>794</v>
      </c>
      <c r="D206" s="67">
        <v>754299</v>
      </c>
      <c r="E206" s="67"/>
      <c r="F206" s="61" t="str">
        <f t="shared" si="3"/>
        <v>借</v>
      </c>
      <c r="G206" s="64">
        <f>SUM(D$6:E206)</f>
        <v>143648994</v>
      </c>
      <c r="H206" s="61" t="s">
        <v>610</v>
      </c>
      <c r="I206" s="61" t="s">
        <v>620</v>
      </c>
      <c r="J206" s="61" t="s">
        <v>114</v>
      </c>
      <c r="K206" s="64">
        <v>754299</v>
      </c>
      <c r="L206" s="61"/>
      <c r="M206" s="65" t="s">
        <v>590</v>
      </c>
      <c r="N206" s="61"/>
      <c r="O206" s="61"/>
      <c r="P206" s="61"/>
      <c r="Q206" s="61"/>
      <c r="R206" s="61">
        <v>471490</v>
      </c>
      <c r="S206" s="66" t="s">
        <v>783</v>
      </c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 s="61" t="s">
        <v>537</v>
      </c>
      <c r="B207" s="62">
        <v>45755</v>
      </c>
      <c r="C207" s="63" t="s">
        <v>795</v>
      </c>
      <c r="D207" s="67"/>
      <c r="E207" s="67">
        <v>-107218</v>
      </c>
      <c r="F207" s="61" t="str">
        <f t="shared" si="3"/>
        <v>借</v>
      </c>
      <c r="G207" s="64">
        <f>SUM(D$6:E207)</f>
        <v>143541776</v>
      </c>
      <c r="H207" s="61" t="s">
        <v>610</v>
      </c>
      <c r="I207" s="61" t="s">
        <v>625</v>
      </c>
      <c r="J207" s="61" t="s">
        <v>114</v>
      </c>
      <c r="K207" s="64">
        <v>-107218</v>
      </c>
      <c r="L207" s="61"/>
      <c r="M207" s="65" t="s">
        <v>590</v>
      </c>
      <c r="N207" s="61"/>
      <c r="O207" s="61"/>
      <c r="P207" s="61"/>
      <c r="Q207" s="61"/>
      <c r="R207" s="61">
        <v>471784</v>
      </c>
      <c r="S207" s="66" t="s">
        <v>783</v>
      </c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 s="61" t="s">
        <v>537</v>
      </c>
      <c r="B208" s="62">
        <v>45756</v>
      </c>
      <c r="C208" s="63" t="s">
        <v>796</v>
      </c>
      <c r="D208" s="67">
        <v>496624</v>
      </c>
      <c r="E208" s="67"/>
      <c r="F208" s="61" t="str">
        <f t="shared" si="3"/>
        <v>借</v>
      </c>
      <c r="G208" s="64">
        <f>SUM(D$6:E208)</f>
        <v>144038400</v>
      </c>
      <c r="H208" s="61" t="s">
        <v>610</v>
      </c>
      <c r="I208" s="61" t="s">
        <v>620</v>
      </c>
      <c r="J208" s="61" t="s">
        <v>114</v>
      </c>
      <c r="K208" s="64">
        <v>496624</v>
      </c>
      <c r="L208" s="61"/>
      <c r="M208" s="65" t="s">
        <v>590</v>
      </c>
      <c r="N208" s="61"/>
      <c r="O208" s="61"/>
      <c r="P208" s="61"/>
      <c r="Q208" s="61"/>
      <c r="R208" s="61">
        <v>471968</v>
      </c>
      <c r="S208" s="66" t="s">
        <v>783</v>
      </c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 s="61" t="s">
        <v>537</v>
      </c>
      <c r="B209" s="62">
        <v>45757</v>
      </c>
      <c r="C209" s="63" t="s">
        <v>797</v>
      </c>
      <c r="D209" s="67">
        <v>1000000</v>
      </c>
      <c r="E209" s="67"/>
      <c r="F209" s="61" t="str">
        <f t="shared" si="3"/>
        <v>借</v>
      </c>
      <c r="G209" s="64">
        <f>SUM(D$6:E209)</f>
        <v>145038400</v>
      </c>
      <c r="H209" s="61"/>
      <c r="I209" s="61" t="s">
        <v>556</v>
      </c>
      <c r="J209" s="61" t="s">
        <v>114</v>
      </c>
      <c r="K209" s="64">
        <v>1000000</v>
      </c>
      <c r="L209" s="61" t="s">
        <v>549</v>
      </c>
      <c r="M209" s="65" t="s">
        <v>557</v>
      </c>
      <c r="N209" s="61"/>
      <c r="O209" s="61"/>
      <c r="P209" s="61"/>
      <c r="Q209" s="61"/>
      <c r="R209" s="61">
        <v>473421</v>
      </c>
      <c r="S209" s="66" t="s">
        <v>593</v>
      </c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 s="61" t="s">
        <v>537</v>
      </c>
      <c r="B210" s="62">
        <v>45758</v>
      </c>
      <c r="C210" s="63" t="s">
        <v>798</v>
      </c>
      <c r="D210" s="67">
        <v>258209</v>
      </c>
      <c r="E210" s="67"/>
      <c r="F210" s="61" t="str">
        <f t="shared" si="3"/>
        <v>借</v>
      </c>
      <c r="G210" s="64">
        <f>SUM(D$6:E210)</f>
        <v>145296609</v>
      </c>
      <c r="H210" s="61" t="s">
        <v>610</v>
      </c>
      <c r="I210" s="61" t="s">
        <v>620</v>
      </c>
      <c r="J210" s="61" t="s">
        <v>114</v>
      </c>
      <c r="K210" s="64">
        <v>258209</v>
      </c>
      <c r="L210" s="61"/>
      <c r="M210" s="65" t="s">
        <v>590</v>
      </c>
      <c r="N210" s="61"/>
      <c r="O210" s="61"/>
      <c r="P210" s="61"/>
      <c r="Q210" s="61"/>
      <c r="R210" s="61">
        <v>472278</v>
      </c>
      <c r="S210" s="66" t="s">
        <v>783</v>
      </c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 s="61" t="s">
        <v>537</v>
      </c>
      <c r="B211" s="62">
        <v>45761</v>
      </c>
      <c r="C211" s="63" t="s">
        <v>799</v>
      </c>
      <c r="D211" s="67">
        <v>422260</v>
      </c>
      <c r="E211" s="67"/>
      <c r="F211" s="61" t="str">
        <f t="shared" si="3"/>
        <v>借</v>
      </c>
      <c r="G211" s="64">
        <f>SUM(D$6:E211)</f>
        <v>145718869</v>
      </c>
      <c r="H211" s="61" t="s">
        <v>610</v>
      </c>
      <c r="I211" s="61" t="s">
        <v>620</v>
      </c>
      <c r="J211" s="61" t="s">
        <v>114</v>
      </c>
      <c r="K211" s="64">
        <v>422260</v>
      </c>
      <c r="L211" s="61"/>
      <c r="M211" s="65" t="s">
        <v>590</v>
      </c>
      <c r="N211" s="61"/>
      <c r="O211" s="61"/>
      <c r="P211" s="61"/>
      <c r="Q211" s="61"/>
      <c r="R211" s="61">
        <v>472498</v>
      </c>
      <c r="S211" s="66" t="s">
        <v>783</v>
      </c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 s="61" t="s">
        <v>537</v>
      </c>
      <c r="B212" s="62">
        <v>45762</v>
      </c>
      <c r="C212" s="63" t="s">
        <v>800</v>
      </c>
      <c r="D212" s="67"/>
      <c r="E212" s="67">
        <v>-66369</v>
      </c>
      <c r="F212" s="61" t="str">
        <f t="shared" si="3"/>
        <v>借</v>
      </c>
      <c r="G212" s="64">
        <f>SUM(D$6:E212)</f>
        <v>145652500</v>
      </c>
      <c r="H212" s="61" t="s">
        <v>610</v>
      </c>
      <c r="I212" s="61" t="s">
        <v>625</v>
      </c>
      <c r="J212" s="61" t="s">
        <v>114</v>
      </c>
      <c r="K212" s="64">
        <v>-66369</v>
      </c>
      <c r="L212" s="61"/>
      <c r="M212" s="65" t="s">
        <v>590</v>
      </c>
      <c r="N212" s="61"/>
      <c r="O212" s="61"/>
      <c r="P212" s="61"/>
      <c r="Q212" s="61"/>
      <c r="R212" s="61">
        <v>472655</v>
      </c>
      <c r="S212" s="66" t="s">
        <v>783</v>
      </c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 s="61" t="s">
        <v>537</v>
      </c>
      <c r="B213" s="62">
        <v>45763</v>
      </c>
      <c r="C213" s="63" t="s">
        <v>801</v>
      </c>
      <c r="D213" s="67"/>
      <c r="E213" s="67">
        <v>-35231</v>
      </c>
      <c r="F213" s="61" t="str">
        <f t="shared" si="3"/>
        <v>借</v>
      </c>
      <c r="G213" s="64">
        <f>SUM(D$6:E213)</f>
        <v>145617269</v>
      </c>
      <c r="H213" s="61" t="s">
        <v>610</v>
      </c>
      <c r="I213" s="61" t="s">
        <v>625</v>
      </c>
      <c r="J213" s="61" t="s">
        <v>114</v>
      </c>
      <c r="K213" s="64">
        <v>-35231</v>
      </c>
      <c r="L213" s="61"/>
      <c r="M213" s="65" t="s">
        <v>590</v>
      </c>
      <c r="N213" s="61"/>
      <c r="O213" s="61"/>
      <c r="P213" s="61"/>
      <c r="Q213" s="61"/>
      <c r="R213" s="61">
        <v>472963</v>
      </c>
      <c r="S213" s="66" t="s">
        <v>783</v>
      </c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 s="61" t="s">
        <v>537</v>
      </c>
      <c r="B214" s="62">
        <v>45764</v>
      </c>
      <c r="C214" s="63" t="s">
        <v>803</v>
      </c>
      <c r="D214" s="67">
        <v>91401</v>
      </c>
      <c r="E214" s="67"/>
      <c r="F214" s="61" t="str">
        <f t="shared" si="3"/>
        <v>借</v>
      </c>
      <c r="G214" s="64">
        <f>SUM(D$6:E214)</f>
        <v>145708670</v>
      </c>
      <c r="H214" s="61" t="s">
        <v>610</v>
      </c>
      <c r="I214" s="61" t="s">
        <v>620</v>
      </c>
      <c r="J214" s="61" t="s">
        <v>114</v>
      </c>
      <c r="K214" s="64">
        <v>91401</v>
      </c>
      <c r="L214" s="61"/>
      <c r="M214" s="65" t="s">
        <v>590</v>
      </c>
      <c r="N214" s="61"/>
      <c r="O214" s="61"/>
      <c r="P214" s="61"/>
      <c r="Q214" s="61"/>
      <c r="R214" s="61">
        <v>473203</v>
      </c>
      <c r="S214" s="66" t="s">
        <v>783</v>
      </c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 s="61" t="s">
        <v>537</v>
      </c>
      <c r="B215" s="62">
        <v>45764</v>
      </c>
      <c r="C215" s="63" t="s">
        <v>802</v>
      </c>
      <c r="D215" s="67">
        <v>304668</v>
      </c>
      <c r="E215" s="67"/>
      <c r="F215" s="61" t="str">
        <f t="shared" si="3"/>
        <v>借</v>
      </c>
      <c r="G215" s="64">
        <f>SUM(D$6:E215)</f>
        <v>146013338</v>
      </c>
      <c r="H215" s="61" t="s">
        <v>606</v>
      </c>
      <c r="I215" s="61" t="s">
        <v>620</v>
      </c>
      <c r="J215" s="61" t="s">
        <v>114</v>
      </c>
      <c r="K215" s="64">
        <v>304668</v>
      </c>
      <c r="L215" s="61"/>
      <c r="M215" s="65" t="s">
        <v>590</v>
      </c>
      <c r="N215" s="61"/>
      <c r="O215" s="61"/>
      <c r="P215" s="61"/>
      <c r="Q215" s="61"/>
      <c r="R215" s="61">
        <v>473203</v>
      </c>
      <c r="S215" s="66" t="s">
        <v>783</v>
      </c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 s="61" t="s">
        <v>537</v>
      </c>
      <c r="B216" s="62">
        <v>45765</v>
      </c>
      <c r="C216" s="63" t="s">
        <v>804</v>
      </c>
      <c r="D216" s="67">
        <v>273960</v>
      </c>
      <c r="E216" s="67"/>
      <c r="F216" s="61" t="str">
        <f t="shared" si="3"/>
        <v>借</v>
      </c>
      <c r="G216" s="64">
        <f>SUM(D$6:E216)</f>
        <v>146287298</v>
      </c>
      <c r="H216" s="61" t="s">
        <v>606</v>
      </c>
      <c r="I216" s="61" t="s">
        <v>620</v>
      </c>
      <c r="J216" s="61" t="s">
        <v>114</v>
      </c>
      <c r="K216" s="64">
        <v>273960</v>
      </c>
      <c r="L216" s="61"/>
      <c r="M216" s="65" t="s">
        <v>590</v>
      </c>
      <c r="N216" s="61"/>
      <c r="O216" s="61"/>
      <c r="P216" s="61"/>
      <c r="Q216" s="61"/>
      <c r="R216" s="61">
        <v>473457</v>
      </c>
      <c r="S216" s="66" t="s">
        <v>783</v>
      </c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 s="61" t="s">
        <v>537</v>
      </c>
      <c r="B217" s="62">
        <v>45765</v>
      </c>
      <c r="C217" s="63" t="s">
        <v>805</v>
      </c>
      <c r="D217" s="67">
        <v>367121</v>
      </c>
      <c r="E217" s="67"/>
      <c r="F217" s="61" t="str">
        <f t="shared" si="3"/>
        <v>借</v>
      </c>
      <c r="G217" s="64">
        <f>SUM(D$6:E217)</f>
        <v>146654419</v>
      </c>
      <c r="H217" s="61" t="s">
        <v>610</v>
      </c>
      <c r="I217" s="61" t="s">
        <v>620</v>
      </c>
      <c r="J217" s="61" t="s">
        <v>114</v>
      </c>
      <c r="K217" s="64">
        <v>367121</v>
      </c>
      <c r="L217" s="61"/>
      <c r="M217" s="65" t="s">
        <v>590</v>
      </c>
      <c r="N217" s="61"/>
      <c r="O217" s="61"/>
      <c r="P217" s="61"/>
      <c r="Q217" s="61"/>
      <c r="R217" s="61">
        <v>473457</v>
      </c>
      <c r="S217" s="66" t="s">
        <v>783</v>
      </c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 s="61" t="s">
        <v>537</v>
      </c>
      <c r="B218" s="62">
        <v>45768</v>
      </c>
      <c r="C218" s="63" t="s">
        <v>806</v>
      </c>
      <c r="D218" s="67">
        <v>627606</v>
      </c>
      <c r="E218" s="67"/>
      <c r="F218" s="61" t="str">
        <f t="shared" si="3"/>
        <v>借</v>
      </c>
      <c r="G218" s="64">
        <f>SUM(D$6:E218)</f>
        <v>147282025</v>
      </c>
      <c r="H218" s="61" t="s">
        <v>610</v>
      </c>
      <c r="I218" s="61" t="s">
        <v>620</v>
      </c>
      <c r="J218" s="61" t="s">
        <v>114</v>
      </c>
      <c r="K218" s="64">
        <v>627606</v>
      </c>
      <c r="L218" s="61"/>
      <c r="M218" s="65" t="s">
        <v>590</v>
      </c>
      <c r="N218" s="61"/>
      <c r="O218" s="61"/>
      <c r="P218" s="61"/>
      <c r="Q218" s="61"/>
      <c r="R218" s="61">
        <v>473842</v>
      </c>
      <c r="S218" s="66" t="s">
        <v>783</v>
      </c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 s="61" t="s">
        <v>537</v>
      </c>
      <c r="B219" s="62">
        <v>45769</v>
      </c>
      <c r="C219" s="63" t="s">
        <v>808</v>
      </c>
      <c r="D219" s="67">
        <v>90690</v>
      </c>
      <c r="E219" s="67"/>
      <c r="F219" s="61" t="str">
        <f t="shared" si="3"/>
        <v>借</v>
      </c>
      <c r="G219" s="64">
        <f>SUM(D$6:E219)</f>
        <v>147372715</v>
      </c>
      <c r="H219" s="61" t="s">
        <v>610</v>
      </c>
      <c r="I219" s="61" t="s">
        <v>620</v>
      </c>
      <c r="J219" s="61" t="s">
        <v>114</v>
      </c>
      <c r="K219" s="64">
        <v>90690</v>
      </c>
      <c r="L219" s="61"/>
      <c r="M219" s="65" t="s">
        <v>590</v>
      </c>
      <c r="N219" s="61"/>
      <c r="O219" s="61"/>
      <c r="P219" s="61"/>
      <c r="Q219" s="61"/>
      <c r="R219" s="61">
        <v>474118</v>
      </c>
      <c r="S219" s="66" t="s">
        <v>783</v>
      </c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 s="61" t="s">
        <v>537</v>
      </c>
      <c r="B220" s="62">
        <v>45769</v>
      </c>
      <c r="C220" s="63" t="s">
        <v>807</v>
      </c>
      <c r="D220" s="67">
        <v>322097</v>
      </c>
      <c r="E220" s="67"/>
      <c r="F220" s="61" t="str">
        <f t="shared" si="3"/>
        <v>借</v>
      </c>
      <c r="G220" s="64">
        <f>SUM(D$6:E220)</f>
        <v>147694812</v>
      </c>
      <c r="H220" s="61" t="s">
        <v>606</v>
      </c>
      <c r="I220" s="61" t="s">
        <v>620</v>
      </c>
      <c r="J220" s="61" t="s">
        <v>114</v>
      </c>
      <c r="K220" s="64">
        <v>322097</v>
      </c>
      <c r="L220" s="61"/>
      <c r="M220" s="65" t="s">
        <v>590</v>
      </c>
      <c r="N220" s="61"/>
      <c r="O220" s="61"/>
      <c r="P220" s="61"/>
      <c r="Q220" s="61"/>
      <c r="R220" s="61">
        <v>474118</v>
      </c>
      <c r="S220" s="66" t="s">
        <v>783</v>
      </c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 s="61" t="s">
        <v>537</v>
      </c>
      <c r="B221" s="62">
        <v>45770</v>
      </c>
      <c r="C221" s="63" t="s">
        <v>809</v>
      </c>
      <c r="D221" s="67">
        <v>267763</v>
      </c>
      <c r="E221" s="67"/>
      <c r="F221" s="61" t="str">
        <f t="shared" si="3"/>
        <v>借</v>
      </c>
      <c r="G221" s="64">
        <f>SUM(D$6:E221)</f>
        <v>147962575</v>
      </c>
      <c r="H221" s="61" t="s">
        <v>610</v>
      </c>
      <c r="I221" s="61" t="s">
        <v>620</v>
      </c>
      <c r="J221" s="61" t="s">
        <v>114</v>
      </c>
      <c r="K221" s="64">
        <v>267763</v>
      </c>
      <c r="L221" s="61"/>
      <c r="M221" s="65" t="s">
        <v>590</v>
      </c>
      <c r="N221" s="61"/>
      <c r="O221" s="61"/>
      <c r="P221" s="61"/>
      <c r="Q221" s="61"/>
      <c r="R221" s="61">
        <v>474476</v>
      </c>
      <c r="S221" s="66" t="s">
        <v>783</v>
      </c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 s="61" t="s">
        <v>537</v>
      </c>
      <c r="B222" s="62">
        <v>45771</v>
      </c>
      <c r="C222" s="63" t="s">
        <v>810</v>
      </c>
      <c r="D222" s="67"/>
      <c r="E222" s="67">
        <v>-169072</v>
      </c>
      <c r="F222" s="61" t="str">
        <f t="shared" si="3"/>
        <v>借</v>
      </c>
      <c r="G222" s="64">
        <f>SUM(D$6:E222)</f>
        <v>147793503</v>
      </c>
      <c r="H222" s="61" t="s">
        <v>610</v>
      </c>
      <c r="I222" s="61" t="s">
        <v>625</v>
      </c>
      <c r="J222" s="61" t="s">
        <v>114</v>
      </c>
      <c r="K222" s="64">
        <v>-169072</v>
      </c>
      <c r="L222" s="61"/>
      <c r="M222" s="65" t="s">
        <v>590</v>
      </c>
      <c r="N222" s="61"/>
      <c r="O222" s="61"/>
      <c r="P222" s="61"/>
      <c r="Q222" s="61"/>
      <c r="R222" s="61">
        <v>474721</v>
      </c>
      <c r="S222" s="66" t="s">
        <v>783</v>
      </c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 s="61" t="s">
        <v>537</v>
      </c>
      <c r="B223" s="62">
        <v>45777</v>
      </c>
      <c r="C223" s="63" t="s">
        <v>829</v>
      </c>
      <c r="D223" s="67"/>
      <c r="E223" s="67">
        <v>-95551</v>
      </c>
      <c r="F223" s="61" t="str">
        <f t="shared" si="3"/>
        <v>借</v>
      </c>
      <c r="G223" s="64">
        <f>SUM(D$6:E223)</f>
        <v>147697952</v>
      </c>
      <c r="H223" s="61" t="s">
        <v>610</v>
      </c>
      <c r="I223" s="61" t="s">
        <v>828</v>
      </c>
      <c r="J223" s="61" t="s">
        <v>114</v>
      </c>
      <c r="K223" s="64">
        <v>-95551</v>
      </c>
      <c r="L223" s="61"/>
      <c r="M223" s="65" t="s">
        <v>590</v>
      </c>
      <c r="N223" s="61"/>
      <c r="O223" s="61"/>
      <c r="P223" s="61"/>
      <c r="Q223" s="61"/>
      <c r="R223" s="61">
        <v>477403</v>
      </c>
      <c r="S223" s="66" t="s">
        <v>783</v>
      </c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 s="61" t="s">
        <v>537</v>
      </c>
      <c r="B224" s="62">
        <v>45777</v>
      </c>
      <c r="C224" s="63" t="s">
        <v>827</v>
      </c>
      <c r="D224" s="67"/>
      <c r="E224" s="67">
        <v>-37140</v>
      </c>
      <c r="F224" s="61" t="str">
        <f t="shared" si="3"/>
        <v>借</v>
      </c>
      <c r="G224" s="64">
        <f>SUM(D$6:E224)</f>
        <v>147660812</v>
      </c>
      <c r="H224" s="61" t="s">
        <v>606</v>
      </c>
      <c r="I224" s="61" t="s">
        <v>828</v>
      </c>
      <c r="J224" s="61" t="s">
        <v>114</v>
      </c>
      <c r="K224" s="64">
        <v>-37140</v>
      </c>
      <c r="L224" s="61"/>
      <c r="M224" s="65" t="s">
        <v>590</v>
      </c>
      <c r="N224" s="61"/>
      <c r="O224" s="61"/>
      <c r="P224" s="61"/>
      <c r="Q224" s="61"/>
      <c r="R224" s="61">
        <v>477403</v>
      </c>
      <c r="S224" s="66" t="s">
        <v>783</v>
      </c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 s="61" t="s">
        <v>537</v>
      </c>
      <c r="B225" s="62">
        <v>45777</v>
      </c>
      <c r="C225" s="63" t="s">
        <v>830</v>
      </c>
      <c r="D225" s="67">
        <v>36970</v>
      </c>
      <c r="E225" s="67"/>
      <c r="F225" s="61" t="str">
        <f t="shared" si="3"/>
        <v>借</v>
      </c>
      <c r="G225" s="64">
        <f>SUM(D$6:E225)</f>
        <v>147697782</v>
      </c>
      <c r="H225" s="61" t="s">
        <v>606</v>
      </c>
      <c r="I225" s="61" t="s">
        <v>828</v>
      </c>
      <c r="J225" s="61" t="s">
        <v>114</v>
      </c>
      <c r="K225" s="64">
        <v>36970</v>
      </c>
      <c r="L225" s="61"/>
      <c r="M225" s="65" t="s">
        <v>590</v>
      </c>
      <c r="N225" s="61"/>
      <c r="O225" s="61"/>
      <c r="P225" s="61"/>
      <c r="Q225" s="61"/>
      <c r="R225" s="61">
        <v>477403</v>
      </c>
      <c r="S225" s="66" t="s">
        <v>783</v>
      </c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 s="61" t="s">
        <v>537</v>
      </c>
      <c r="B226" s="62">
        <v>45777</v>
      </c>
      <c r="C226" s="63" t="s">
        <v>831</v>
      </c>
      <c r="D226" s="67">
        <v>91221</v>
      </c>
      <c r="E226" s="67"/>
      <c r="F226" s="61" t="str">
        <f t="shared" si="3"/>
        <v>借</v>
      </c>
      <c r="G226" s="64">
        <f>SUM(D$6:E226)</f>
        <v>147789003</v>
      </c>
      <c r="H226" s="61" t="s">
        <v>610</v>
      </c>
      <c r="I226" s="61" t="s">
        <v>828</v>
      </c>
      <c r="J226" s="61" t="s">
        <v>114</v>
      </c>
      <c r="K226" s="64">
        <v>91221</v>
      </c>
      <c r="L226" s="61"/>
      <c r="M226" s="65" t="s">
        <v>590</v>
      </c>
      <c r="N226" s="61"/>
      <c r="O226" s="61"/>
      <c r="P226" s="61"/>
      <c r="Q226" s="61"/>
      <c r="R226" s="61">
        <v>477403</v>
      </c>
      <c r="S226" s="66" t="s">
        <v>783</v>
      </c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 s="61" t="s">
        <v>537</v>
      </c>
      <c r="B227" s="62">
        <v>45777</v>
      </c>
      <c r="C227" s="63" t="s">
        <v>826</v>
      </c>
      <c r="D227" s="67">
        <v>136189</v>
      </c>
      <c r="E227" s="67"/>
      <c r="F227" s="61" t="str">
        <f t="shared" si="3"/>
        <v>借</v>
      </c>
      <c r="G227" s="64">
        <f>SUM(D$6:E227)</f>
        <v>147925192</v>
      </c>
      <c r="H227" s="61" t="s">
        <v>610</v>
      </c>
      <c r="I227" s="61" t="s">
        <v>620</v>
      </c>
      <c r="J227" s="61" t="s">
        <v>114</v>
      </c>
      <c r="K227" s="64">
        <v>136189</v>
      </c>
      <c r="L227" s="61"/>
      <c r="M227" s="65" t="s">
        <v>590</v>
      </c>
      <c r="N227" s="61"/>
      <c r="O227" s="61"/>
      <c r="P227" s="61"/>
      <c r="Q227" s="61"/>
      <c r="R227" s="61">
        <v>476157</v>
      </c>
      <c r="S227" s="66" t="s">
        <v>783</v>
      </c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 s="61" t="s">
        <v>537</v>
      </c>
      <c r="B228" s="62">
        <v>45783</v>
      </c>
      <c r="C228" s="63" t="s">
        <v>832</v>
      </c>
      <c r="D228" s="67">
        <v>326092</v>
      </c>
      <c r="E228" s="67"/>
      <c r="F228" s="61" t="str">
        <f t="shared" si="3"/>
        <v>借</v>
      </c>
      <c r="G228" s="64">
        <f>SUM(D$6:E228)</f>
        <v>148251284</v>
      </c>
      <c r="H228" s="61" t="s">
        <v>610</v>
      </c>
      <c r="I228" s="61" t="s">
        <v>620</v>
      </c>
      <c r="J228" s="61" t="s">
        <v>114</v>
      </c>
      <c r="K228" s="64">
        <v>326092</v>
      </c>
      <c r="L228" s="61"/>
      <c r="M228" s="65" t="s">
        <v>590</v>
      </c>
      <c r="N228" s="61"/>
      <c r="O228" s="61"/>
      <c r="P228" s="61"/>
      <c r="Q228" s="61"/>
      <c r="R228" s="61">
        <v>477651</v>
      </c>
      <c r="S228" s="66" t="s">
        <v>783</v>
      </c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 s="61" t="s">
        <v>537</v>
      </c>
      <c r="B229" s="62">
        <v>45784</v>
      </c>
      <c r="C229" s="63" t="s">
        <v>834</v>
      </c>
      <c r="D229" s="67"/>
      <c r="E229" s="67">
        <v>-127279</v>
      </c>
      <c r="F229" s="61" t="str">
        <f t="shared" si="3"/>
        <v>借</v>
      </c>
      <c r="G229" s="64">
        <f>SUM(D$6:E229)</f>
        <v>148124005</v>
      </c>
      <c r="H229" s="61" t="s">
        <v>610</v>
      </c>
      <c r="I229" s="61" t="s">
        <v>625</v>
      </c>
      <c r="J229" s="61" t="s">
        <v>114</v>
      </c>
      <c r="K229" s="64">
        <v>-127279</v>
      </c>
      <c r="L229" s="61"/>
      <c r="M229" s="65" t="s">
        <v>590</v>
      </c>
      <c r="N229" s="61"/>
      <c r="O229" s="61"/>
      <c r="P229" s="61"/>
      <c r="Q229" s="61"/>
      <c r="R229" s="61">
        <v>477798</v>
      </c>
      <c r="S229" s="66" t="s">
        <v>783</v>
      </c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 s="61" t="s">
        <v>537</v>
      </c>
      <c r="B230" s="62">
        <v>45784</v>
      </c>
      <c r="C230" s="63" t="s">
        <v>833</v>
      </c>
      <c r="D230" s="67">
        <v>113249</v>
      </c>
      <c r="E230" s="67"/>
      <c r="F230" s="61" t="str">
        <f t="shared" si="3"/>
        <v>借</v>
      </c>
      <c r="G230" s="64">
        <f>SUM(D$6:E230)</f>
        <v>148237254</v>
      </c>
      <c r="H230" s="61" t="s">
        <v>606</v>
      </c>
      <c r="I230" s="61" t="s">
        <v>620</v>
      </c>
      <c r="J230" s="61" t="s">
        <v>114</v>
      </c>
      <c r="K230" s="64">
        <v>113249</v>
      </c>
      <c r="L230" s="61"/>
      <c r="M230" s="65" t="s">
        <v>590</v>
      </c>
      <c r="N230" s="61"/>
      <c r="O230" s="61"/>
      <c r="P230" s="61"/>
      <c r="Q230" s="61"/>
      <c r="R230" s="61">
        <v>477798</v>
      </c>
      <c r="S230" s="66" t="s">
        <v>783</v>
      </c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 s="61" t="s">
        <v>537</v>
      </c>
      <c r="B231" s="62">
        <v>45785</v>
      </c>
      <c r="C231" s="63" t="s">
        <v>836</v>
      </c>
      <c r="D231" s="67">
        <v>55813</v>
      </c>
      <c r="E231" s="67"/>
      <c r="F231" s="61" t="str">
        <f t="shared" si="3"/>
        <v>借</v>
      </c>
      <c r="G231" s="64">
        <f>SUM(D$6:E231)</f>
        <v>148293067</v>
      </c>
      <c r="H231" s="61" t="s">
        <v>610</v>
      </c>
      <c r="I231" s="61" t="s">
        <v>620</v>
      </c>
      <c r="J231" s="61" t="s">
        <v>114</v>
      </c>
      <c r="K231" s="64">
        <v>55813</v>
      </c>
      <c r="L231" s="61"/>
      <c r="M231" s="65" t="s">
        <v>590</v>
      </c>
      <c r="N231" s="61"/>
      <c r="O231" s="61"/>
      <c r="P231" s="61"/>
      <c r="Q231" s="61"/>
      <c r="R231" s="61">
        <v>477903</v>
      </c>
      <c r="S231" s="66" t="s">
        <v>783</v>
      </c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 s="61" t="s">
        <v>537</v>
      </c>
      <c r="B232" s="62">
        <v>45785</v>
      </c>
      <c r="C232" s="63" t="s">
        <v>835</v>
      </c>
      <c r="D232" s="67">
        <v>318703</v>
      </c>
      <c r="E232" s="67"/>
      <c r="F232" s="61" t="str">
        <f t="shared" si="3"/>
        <v>借</v>
      </c>
      <c r="G232" s="64">
        <f>SUM(D$6:E232)</f>
        <v>148611770</v>
      </c>
      <c r="H232" s="61" t="s">
        <v>606</v>
      </c>
      <c r="I232" s="61" t="s">
        <v>620</v>
      </c>
      <c r="J232" s="61" t="s">
        <v>114</v>
      </c>
      <c r="K232" s="64">
        <v>318703</v>
      </c>
      <c r="L232" s="61"/>
      <c r="M232" s="65" t="s">
        <v>590</v>
      </c>
      <c r="N232" s="61"/>
      <c r="O232" s="61"/>
      <c r="P232" s="61"/>
      <c r="Q232" s="61"/>
      <c r="R232" s="61">
        <v>477903</v>
      </c>
      <c r="S232" s="66" t="s">
        <v>783</v>
      </c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 s="61" t="s">
        <v>537</v>
      </c>
      <c r="B233" s="62">
        <v>45786</v>
      </c>
      <c r="C233" s="63" t="s">
        <v>844</v>
      </c>
      <c r="D233" s="67"/>
      <c r="E233" s="67">
        <v>-9000000</v>
      </c>
      <c r="F233" s="61" t="str">
        <f t="shared" si="3"/>
        <v>借</v>
      </c>
      <c r="G233" s="64">
        <f>SUM(D$6:E233)</f>
        <v>139611770</v>
      </c>
      <c r="H233" s="61"/>
      <c r="I233" s="61" t="s">
        <v>597</v>
      </c>
      <c r="J233" s="61" t="s">
        <v>114</v>
      </c>
      <c r="K233" s="64">
        <v>-9000000</v>
      </c>
      <c r="L233" s="61" t="s">
        <v>549</v>
      </c>
      <c r="M233" s="65" t="s">
        <v>557</v>
      </c>
      <c r="N233" s="61"/>
      <c r="O233" s="61"/>
      <c r="P233" s="61"/>
      <c r="Q233" s="61"/>
      <c r="R233" s="61">
        <v>479455</v>
      </c>
      <c r="S233" s="66" t="s">
        <v>845</v>
      </c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 s="61" t="s">
        <v>537</v>
      </c>
      <c r="B234" s="62">
        <v>45786</v>
      </c>
      <c r="C234" s="63" t="s">
        <v>837</v>
      </c>
      <c r="D234" s="67"/>
      <c r="E234" s="67">
        <v>-71311</v>
      </c>
      <c r="F234" s="61" t="str">
        <f t="shared" si="3"/>
        <v>借</v>
      </c>
      <c r="G234" s="64">
        <f>SUM(D$6:E234)</f>
        <v>139540459</v>
      </c>
      <c r="H234" s="61" t="s">
        <v>606</v>
      </c>
      <c r="I234" s="61" t="s">
        <v>625</v>
      </c>
      <c r="J234" s="61" t="s">
        <v>114</v>
      </c>
      <c r="K234" s="64">
        <v>-71311</v>
      </c>
      <c r="L234" s="61"/>
      <c r="M234" s="65" t="s">
        <v>590</v>
      </c>
      <c r="N234" s="61"/>
      <c r="O234" s="61"/>
      <c r="P234" s="61"/>
      <c r="Q234" s="61"/>
      <c r="R234" s="61">
        <v>478008</v>
      </c>
      <c r="S234" s="66" t="s">
        <v>783</v>
      </c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 s="61" t="s">
        <v>537</v>
      </c>
      <c r="B235" s="62">
        <v>45789</v>
      </c>
      <c r="C235" s="63" t="s">
        <v>838</v>
      </c>
      <c r="D235" s="67"/>
      <c r="E235" s="67">
        <v>-83417</v>
      </c>
      <c r="F235" s="61" t="str">
        <f t="shared" si="3"/>
        <v>借</v>
      </c>
      <c r="G235" s="64">
        <f>SUM(D$6:E235)</f>
        <v>139457042</v>
      </c>
      <c r="H235" s="61" t="s">
        <v>606</v>
      </c>
      <c r="I235" s="61" t="s">
        <v>625</v>
      </c>
      <c r="J235" s="61" t="s">
        <v>114</v>
      </c>
      <c r="K235" s="64">
        <v>-83417</v>
      </c>
      <c r="L235" s="61"/>
      <c r="M235" s="65" t="s">
        <v>590</v>
      </c>
      <c r="N235" s="61"/>
      <c r="O235" s="61"/>
      <c r="P235" s="61"/>
      <c r="Q235" s="61"/>
      <c r="R235" s="61">
        <v>478067</v>
      </c>
      <c r="S235" s="66" t="s">
        <v>783</v>
      </c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 s="61" t="s">
        <v>537</v>
      </c>
      <c r="B236" s="62">
        <v>45789</v>
      </c>
      <c r="C236" s="63" t="s">
        <v>839</v>
      </c>
      <c r="D236" s="67">
        <v>329250</v>
      </c>
      <c r="E236" s="67"/>
      <c r="F236" s="61" t="str">
        <f t="shared" si="3"/>
        <v>借</v>
      </c>
      <c r="G236" s="64">
        <f>SUM(D$6:E236)</f>
        <v>139786292</v>
      </c>
      <c r="H236" s="61" t="s">
        <v>610</v>
      </c>
      <c r="I236" s="61" t="s">
        <v>620</v>
      </c>
      <c r="J236" s="61" t="s">
        <v>114</v>
      </c>
      <c r="K236" s="64">
        <v>329250</v>
      </c>
      <c r="L236" s="61"/>
      <c r="M236" s="65" t="s">
        <v>590</v>
      </c>
      <c r="N236" s="61"/>
      <c r="O236" s="61"/>
      <c r="P236" s="61"/>
      <c r="Q236" s="61"/>
      <c r="R236" s="61">
        <v>478067</v>
      </c>
      <c r="S236" s="66" t="s">
        <v>783</v>
      </c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 s="61" t="s">
        <v>537</v>
      </c>
      <c r="B237" s="62">
        <v>45791</v>
      </c>
      <c r="C237" s="63" t="s">
        <v>841</v>
      </c>
      <c r="D237" s="67"/>
      <c r="E237" s="67">
        <v>-178230</v>
      </c>
      <c r="F237" s="61" t="str">
        <f t="shared" si="3"/>
        <v>借</v>
      </c>
      <c r="G237" s="64">
        <f>SUM(D$6:E237)</f>
        <v>139608062</v>
      </c>
      <c r="H237" s="61" t="s">
        <v>610</v>
      </c>
      <c r="I237" s="61" t="s">
        <v>746</v>
      </c>
      <c r="J237" s="61" t="s">
        <v>114</v>
      </c>
      <c r="K237" s="64">
        <v>-178230</v>
      </c>
      <c r="L237" s="61"/>
      <c r="M237" s="65" t="s">
        <v>590</v>
      </c>
      <c r="N237" s="61"/>
      <c r="O237" s="61"/>
      <c r="P237" s="61"/>
      <c r="Q237" s="61"/>
      <c r="R237" s="61">
        <v>478409</v>
      </c>
      <c r="S237" s="66" t="s">
        <v>783</v>
      </c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 s="61" t="s">
        <v>537</v>
      </c>
      <c r="B238" s="62">
        <v>45791</v>
      </c>
      <c r="C238" s="63" t="s">
        <v>840</v>
      </c>
      <c r="D238" s="67">
        <v>81265</v>
      </c>
      <c r="E238" s="67"/>
      <c r="F238" s="61" t="str">
        <f t="shared" si="3"/>
        <v>借</v>
      </c>
      <c r="G238" s="64">
        <f>SUM(D$6:E238)</f>
        <v>139689327</v>
      </c>
      <c r="H238" s="61" t="s">
        <v>606</v>
      </c>
      <c r="I238" s="61" t="s">
        <v>620</v>
      </c>
      <c r="J238" s="61" t="s">
        <v>114</v>
      </c>
      <c r="K238" s="64">
        <v>81265</v>
      </c>
      <c r="L238" s="61"/>
      <c r="M238" s="65" t="s">
        <v>590</v>
      </c>
      <c r="N238" s="61"/>
      <c r="O238" s="61"/>
      <c r="P238" s="61"/>
      <c r="Q238" s="61"/>
      <c r="R238" s="61">
        <v>478409</v>
      </c>
      <c r="S238" s="66" t="s">
        <v>783</v>
      </c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 s="61" t="s">
        <v>537</v>
      </c>
      <c r="B239" s="62">
        <v>45792</v>
      </c>
      <c r="C239" s="63" t="s">
        <v>842</v>
      </c>
      <c r="D239" s="67"/>
      <c r="E239" s="67">
        <v>-26886</v>
      </c>
      <c r="F239" s="61" t="str">
        <f t="shared" si="3"/>
        <v>借</v>
      </c>
      <c r="G239" s="64">
        <f>SUM(D$6:E239)</f>
        <v>139662441</v>
      </c>
      <c r="H239" s="61" t="s">
        <v>610</v>
      </c>
      <c r="I239" s="61" t="s">
        <v>625</v>
      </c>
      <c r="J239" s="61" t="s">
        <v>114</v>
      </c>
      <c r="K239" s="64">
        <v>-26886</v>
      </c>
      <c r="L239" s="61"/>
      <c r="M239" s="65" t="s">
        <v>590</v>
      </c>
      <c r="N239" s="61"/>
      <c r="O239" s="61"/>
      <c r="P239" s="61"/>
      <c r="Q239" s="61"/>
      <c r="R239" s="61">
        <v>478593</v>
      </c>
      <c r="S239" s="66" t="s">
        <v>783</v>
      </c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 s="61" t="s">
        <v>537</v>
      </c>
      <c r="B240" s="62">
        <v>45796</v>
      </c>
      <c r="C240" s="63" t="s">
        <v>846</v>
      </c>
      <c r="D240" s="67"/>
      <c r="E240" s="67">
        <v>-432472</v>
      </c>
      <c r="F240" s="61" t="str">
        <f t="shared" si="3"/>
        <v>借</v>
      </c>
      <c r="G240" s="64">
        <f>SUM(D$6:E240)</f>
        <v>139229969</v>
      </c>
      <c r="H240" s="61" t="s">
        <v>610</v>
      </c>
      <c r="I240" s="61" t="s">
        <v>625</v>
      </c>
      <c r="J240" s="61" t="s">
        <v>114</v>
      </c>
      <c r="K240" s="64">
        <v>-432472</v>
      </c>
      <c r="L240" s="61"/>
      <c r="M240" s="65" t="s">
        <v>590</v>
      </c>
      <c r="N240" s="61"/>
      <c r="O240" s="61"/>
      <c r="P240" s="61"/>
      <c r="Q240" s="61"/>
      <c r="R240" s="61">
        <v>479553</v>
      </c>
      <c r="S240" s="66" t="s">
        <v>783</v>
      </c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 s="61" t="s">
        <v>537</v>
      </c>
      <c r="B241" s="62">
        <v>45796</v>
      </c>
      <c r="C241" s="63" t="s">
        <v>847</v>
      </c>
      <c r="D241" s="67">
        <v>99530</v>
      </c>
      <c r="E241" s="67"/>
      <c r="F241" s="61" t="str">
        <f t="shared" si="3"/>
        <v>借</v>
      </c>
      <c r="G241" s="64">
        <f>SUM(D$6:E241)</f>
        <v>139329499</v>
      </c>
      <c r="H241" s="61" t="s">
        <v>606</v>
      </c>
      <c r="I241" s="61" t="s">
        <v>620</v>
      </c>
      <c r="J241" s="61" t="s">
        <v>114</v>
      </c>
      <c r="K241" s="64">
        <v>99530</v>
      </c>
      <c r="L241" s="61"/>
      <c r="M241" s="65" t="s">
        <v>590</v>
      </c>
      <c r="N241" s="61"/>
      <c r="O241" s="61"/>
      <c r="P241" s="61"/>
      <c r="Q241" s="61"/>
      <c r="R241" s="61">
        <v>479553</v>
      </c>
      <c r="S241" s="66" t="s">
        <v>783</v>
      </c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 s="61" t="s">
        <v>537</v>
      </c>
      <c r="B242" s="62">
        <v>45797</v>
      </c>
      <c r="C242" s="63" t="s">
        <v>848</v>
      </c>
      <c r="D242" s="67"/>
      <c r="E242" s="67">
        <v>-120795</v>
      </c>
      <c r="F242" s="61" t="str">
        <f t="shared" si="3"/>
        <v>借</v>
      </c>
      <c r="G242" s="64">
        <f>SUM(D$6:E242)</f>
        <v>139208704</v>
      </c>
      <c r="H242" s="61" t="s">
        <v>610</v>
      </c>
      <c r="I242" s="61" t="s">
        <v>625</v>
      </c>
      <c r="J242" s="61" t="s">
        <v>114</v>
      </c>
      <c r="K242" s="64">
        <v>-120795</v>
      </c>
      <c r="L242" s="61"/>
      <c r="M242" s="65" t="s">
        <v>590</v>
      </c>
      <c r="N242" s="61"/>
      <c r="O242" s="61"/>
      <c r="P242" s="61"/>
      <c r="Q242" s="61"/>
      <c r="R242" s="61">
        <v>480134</v>
      </c>
      <c r="S242" s="66" t="s">
        <v>783</v>
      </c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 s="61" t="s">
        <v>537</v>
      </c>
      <c r="B243" s="62">
        <v>45798</v>
      </c>
      <c r="C243" s="63" t="s">
        <v>849</v>
      </c>
      <c r="D243" s="67"/>
      <c r="E243" s="67">
        <v>-181065</v>
      </c>
      <c r="F243" s="61" t="str">
        <f t="shared" si="3"/>
        <v>借</v>
      </c>
      <c r="G243" s="64">
        <f>SUM(D$6:E243)</f>
        <v>139027639</v>
      </c>
      <c r="H243" s="61" t="s">
        <v>610</v>
      </c>
      <c r="I243" s="61" t="s">
        <v>625</v>
      </c>
      <c r="J243" s="61" t="s">
        <v>114</v>
      </c>
      <c r="K243" s="64">
        <v>-181065</v>
      </c>
      <c r="L243" s="61"/>
      <c r="M243" s="65" t="s">
        <v>590</v>
      </c>
      <c r="N243" s="61"/>
      <c r="O243" s="61"/>
      <c r="P243" s="61"/>
      <c r="Q243" s="61"/>
      <c r="R243" s="61">
        <v>480129</v>
      </c>
      <c r="S243" s="66" t="s">
        <v>783</v>
      </c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 s="61" t="s">
        <v>537</v>
      </c>
      <c r="B244" s="62">
        <v>45799</v>
      </c>
      <c r="C244" s="63" t="s">
        <v>850</v>
      </c>
      <c r="D244" s="67"/>
      <c r="E244" s="67">
        <v>-87639</v>
      </c>
      <c r="F244" s="61" t="str">
        <f t="shared" si="3"/>
        <v>借</v>
      </c>
      <c r="G244" s="64">
        <f>SUM(D$6:E244)</f>
        <v>138940000</v>
      </c>
      <c r="H244" s="61" t="s">
        <v>610</v>
      </c>
      <c r="I244" s="61" t="s">
        <v>625</v>
      </c>
      <c r="J244" s="61" t="s">
        <v>114</v>
      </c>
      <c r="K244" s="64">
        <v>-87639</v>
      </c>
      <c r="L244" s="61"/>
      <c r="M244" s="65" t="s">
        <v>590</v>
      </c>
      <c r="N244" s="61"/>
      <c r="O244" s="61"/>
      <c r="P244" s="61"/>
      <c r="Q244" s="61"/>
      <c r="R244" s="61">
        <v>480511</v>
      </c>
      <c r="S244" s="66" t="s">
        <v>783</v>
      </c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 s="61" t="s">
        <v>537</v>
      </c>
      <c r="B245" s="62">
        <v>45800</v>
      </c>
      <c r="C245" s="63" t="s">
        <v>851</v>
      </c>
      <c r="D245" s="67"/>
      <c r="E245" s="67">
        <v>-14350</v>
      </c>
      <c r="F245" s="61" t="str">
        <f t="shared" si="3"/>
        <v>借</v>
      </c>
      <c r="G245" s="64">
        <f>SUM(D$6:E245)</f>
        <v>138925650</v>
      </c>
      <c r="H245" s="61" t="s">
        <v>610</v>
      </c>
      <c r="I245" s="61" t="s">
        <v>625</v>
      </c>
      <c r="J245" s="61" t="s">
        <v>114</v>
      </c>
      <c r="K245" s="64">
        <v>-14350</v>
      </c>
      <c r="L245" s="61"/>
      <c r="M245" s="65" t="s">
        <v>590</v>
      </c>
      <c r="N245" s="61"/>
      <c r="O245" s="61"/>
      <c r="P245" s="61"/>
      <c r="Q245" s="61"/>
      <c r="R245" s="61">
        <v>480627</v>
      </c>
      <c r="S245" s="66" t="s">
        <v>783</v>
      </c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 s="61" t="s">
        <v>537</v>
      </c>
      <c r="B246" s="62">
        <v>45803</v>
      </c>
      <c r="C246" s="63" t="s">
        <v>852</v>
      </c>
      <c r="D246" s="67"/>
      <c r="E246" s="67">
        <v>-340073</v>
      </c>
      <c r="F246" s="61" t="str">
        <f t="shared" si="3"/>
        <v>借</v>
      </c>
      <c r="G246" s="64">
        <f>SUM(D$6:E246)</f>
        <v>138585577</v>
      </c>
      <c r="H246" s="61" t="s">
        <v>610</v>
      </c>
      <c r="I246" s="61" t="s">
        <v>625</v>
      </c>
      <c r="J246" s="61" t="s">
        <v>114</v>
      </c>
      <c r="K246" s="64">
        <v>-340073</v>
      </c>
      <c r="L246" s="61"/>
      <c r="M246" s="65" t="s">
        <v>590</v>
      </c>
      <c r="N246" s="61"/>
      <c r="O246" s="61"/>
      <c r="P246" s="61"/>
      <c r="Q246" s="61"/>
      <c r="R246" s="61">
        <v>480964</v>
      </c>
      <c r="S246" s="66" t="s">
        <v>783</v>
      </c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 s="61" t="s">
        <v>537</v>
      </c>
      <c r="B247" s="62">
        <v>45806</v>
      </c>
      <c r="C247" s="63" t="s">
        <v>939</v>
      </c>
      <c r="D247" s="67"/>
      <c r="E247" s="67">
        <v>-119228</v>
      </c>
      <c r="F247" s="61" t="str">
        <f t="shared" si="3"/>
        <v>借</v>
      </c>
      <c r="G247" s="64">
        <f>SUM(D$6:E247)</f>
        <v>138466349</v>
      </c>
      <c r="H247" s="61" t="s">
        <v>610</v>
      </c>
      <c r="I247" s="61" t="s">
        <v>938</v>
      </c>
      <c r="J247" s="61" t="s">
        <v>114</v>
      </c>
      <c r="K247" s="64">
        <v>-119228</v>
      </c>
      <c r="L247" s="61"/>
      <c r="M247" s="65" t="s">
        <v>590</v>
      </c>
      <c r="N247" s="61"/>
      <c r="O247" s="61"/>
      <c r="P247" s="61"/>
      <c r="Q247" s="61"/>
      <c r="R247" s="61">
        <v>483250</v>
      </c>
      <c r="S247" s="66" t="s">
        <v>783</v>
      </c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 s="61" t="s">
        <v>537</v>
      </c>
      <c r="B248" s="62">
        <v>45806</v>
      </c>
      <c r="C248" s="63" t="s">
        <v>937</v>
      </c>
      <c r="D248" s="67"/>
      <c r="E248" s="67">
        <v>-48266</v>
      </c>
      <c r="F248" s="61" t="str">
        <f t="shared" si="3"/>
        <v>借</v>
      </c>
      <c r="G248" s="64">
        <f>SUM(D$6:E248)</f>
        <v>138418083</v>
      </c>
      <c r="H248" s="61" t="s">
        <v>606</v>
      </c>
      <c r="I248" s="61" t="s">
        <v>938</v>
      </c>
      <c r="J248" s="61" t="s">
        <v>114</v>
      </c>
      <c r="K248" s="64">
        <v>-48266</v>
      </c>
      <c r="L248" s="61"/>
      <c r="M248" s="65" t="s">
        <v>590</v>
      </c>
      <c r="N248" s="61"/>
      <c r="O248" s="61"/>
      <c r="P248" s="61"/>
      <c r="Q248" s="61"/>
      <c r="R248" s="61">
        <v>483250</v>
      </c>
      <c r="S248" s="66" t="s">
        <v>783</v>
      </c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 s="61" t="s">
        <v>537</v>
      </c>
      <c r="B249" s="62">
        <v>45806</v>
      </c>
      <c r="C249" s="63" t="s">
        <v>934</v>
      </c>
      <c r="D249" s="67">
        <v>46792</v>
      </c>
      <c r="E249" s="67"/>
      <c r="F249" s="61" t="str">
        <f t="shared" si="3"/>
        <v>借</v>
      </c>
      <c r="G249" s="64">
        <f>SUM(D$6:E249)</f>
        <v>138464875</v>
      </c>
      <c r="H249" s="61" t="s">
        <v>606</v>
      </c>
      <c r="I249" s="61" t="s">
        <v>620</v>
      </c>
      <c r="J249" s="61" t="s">
        <v>114</v>
      </c>
      <c r="K249" s="64">
        <v>46792</v>
      </c>
      <c r="L249" s="61"/>
      <c r="M249" s="65" t="s">
        <v>590</v>
      </c>
      <c r="N249" s="61"/>
      <c r="O249" s="61"/>
      <c r="P249" s="61"/>
      <c r="Q249" s="61"/>
      <c r="R249" s="61">
        <v>481999</v>
      </c>
      <c r="S249" s="66" t="s">
        <v>783</v>
      </c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 s="61" t="s">
        <v>537</v>
      </c>
      <c r="B250" s="62">
        <v>45806</v>
      </c>
      <c r="C250" s="63" t="s">
        <v>940</v>
      </c>
      <c r="D250" s="67">
        <v>48710</v>
      </c>
      <c r="E250" s="67"/>
      <c r="F250" s="61" t="str">
        <f t="shared" si="3"/>
        <v>借</v>
      </c>
      <c r="G250" s="64">
        <f>SUM(D$6:E250)</f>
        <v>138513585</v>
      </c>
      <c r="H250" s="61" t="s">
        <v>606</v>
      </c>
      <c r="I250" s="61" t="s">
        <v>938</v>
      </c>
      <c r="J250" s="61" t="s">
        <v>114</v>
      </c>
      <c r="K250" s="64">
        <v>48710</v>
      </c>
      <c r="L250" s="61"/>
      <c r="M250" s="65" t="s">
        <v>590</v>
      </c>
      <c r="N250" s="61"/>
      <c r="O250" s="61"/>
      <c r="P250" s="61"/>
      <c r="Q250" s="61"/>
      <c r="R250" s="61">
        <v>483250</v>
      </c>
      <c r="S250" s="66" t="s">
        <v>783</v>
      </c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 s="61" t="s">
        <v>537</v>
      </c>
      <c r="B251" s="62">
        <v>45806</v>
      </c>
      <c r="C251" s="63" t="s">
        <v>941</v>
      </c>
      <c r="D251" s="67">
        <v>116900</v>
      </c>
      <c r="E251" s="67"/>
      <c r="F251" s="61" t="str">
        <f t="shared" si="3"/>
        <v>借</v>
      </c>
      <c r="G251" s="64">
        <f>SUM(D$6:E251)</f>
        <v>138630485</v>
      </c>
      <c r="H251" s="61" t="s">
        <v>610</v>
      </c>
      <c r="I251" s="61" t="s">
        <v>938</v>
      </c>
      <c r="J251" s="61" t="s">
        <v>114</v>
      </c>
      <c r="K251" s="64">
        <v>116900</v>
      </c>
      <c r="L251" s="61"/>
      <c r="M251" s="65" t="s">
        <v>590</v>
      </c>
      <c r="N251" s="61"/>
      <c r="O251" s="61"/>
      <c r="P251" s="61"/>
      <c r="Q251" s="61"/>
      <c r="R251" s="61">
        <v>483250</v>
      </c>
      <c r="S251" s="66" t="s">
        <v>783</v>
      </c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 s="61" t="s">
        <v>537</v>
      </c>
      <c r="B252" s="62">
        <v>45806</v>
      </c>
      <c r="C252" s="63" t="s">
        <v>935</v>
      </c>
      <c r="D252" s="67">
        <v>249428</v>
      </c>
      <c r="E252" s="67"/>
      <c r="F252" s="61" t="str">
        <f t="shared" si="3"/>
        <v>借</v>
      </c>
      <c r="G252" s="64">
        <f>SUM(D$6:E252)</f>
        <v>138879913</v>
      </c>
      <c r="H252" s="61" t="s">
        <v>610</v>
      </c>
      <c r="I252" s="61" t="s">
        <v>620</v>
      </c>
      <c r="J252" s="61" t="s">
        <v>114</v>
      </c>
      <c r="K252" s="64">
        <v>249428</v>
      </c>
      <c r="L252" s="61"/>
      <c r="M252" s="65" t="s">
        <v>590</v>
      </c>
      <c r="N252" s="61"/>
      <c r="O252" s="61"/>
      <c r="P252" s="61"/>
      <c r="Q252" s="61"/>
      <c r="R252" s="61">
        <v>481999</v>
      </c>
      <c r="S252" s="66" t="s">
        <v>783</v>
      </c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 s="61" t="s">
        <v>537</v>
      </c>
      <c r="B253" s="62">
        <v>45810</v>
      </c>
      <c r="C253" s="63" t="s">
        <v>942</v>
      </c>
      <c r="D253" s="67">
        <v>154313</v>
      </c>
      <c r="E253" s="67"/>
      <c r="F253" s="61" t="str">
        <f t="shared" si="3"/>
        <v>借</v>
      </c>
      <c r="G253" s="64">
        <f>SUM(D$6:E253)</f>
        <v>139034226</v>
      </c>
      <c r="H253" s="61" t="s">
        <v>606</v>
      </c>
      <c r="I253" s="61" t="s">
        <v>620</v>
      </c>
      <c r="J253" s="61" t="s">
        <v>114</v>
      </c>
      <c r="K253" s="64">
        <v>154313</v>
      </c>
      <c r="L253" s="61"/>
      <c r="M253" s="65" t="s">
        <v>590</v>
      </c>
      <c r="N253" s="61"/>
      <c r="O253" s="61"/>
      <c r="P253" s="61"/>
      <c r="Q253" s="61"/>
      <c r="R253" s="61">
        <v>482415</v>
      </c>
      <c r="S253" s="66" t="s">
        <v>783</v>
      </c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 s="61" t="s">
        <v>537</v>
      </c>
      <c r="B254" s="62">
        <v>45810</v>
      </c>
      <c r="C254" s="63" t="s">
        <v>943</v>
      </c>
      <c r="D254" s="67">
        <v>304462</v>
      </c>
      <c r="E254" s="67"/>
      <c r="F254" s="61" t="str">
        <f t="shared" si="3"/>
        <v>借</v>
      </c>
      <c r="G254" s="64">
        <f>SUM(D$6:E254)</f>
        <v>139338688</v>
      </c>
      <c r="H254" s="61" t="s">
        <v>610</v>
      </c>
      <c r="I254" s="61" t="s">
        <v>620</v>
      </c>
      <c r="J254" s="61" t="s">
        <v>114</v>
      </c>
      <c r="K254" s="64">
        <v>304462</v>
      </c>
      <c r="L254" s="61"/>
      <c r="M254" s="65" t="s">
        <v>590</v>
      </c>
      <c r="N254" s="61"/>
      <c r="O254" s="61"/>
      <c r="P254" s="61"/>
      <c r="Q254" s="61"/>
      <c r="R254" s="61">
        <v>482415</v>
      </c>
      <c r="S254" s="66" t="s">
        <v>783</v>
      </c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 s="61" t="s">
        <v>537</v>
      </c>
      <c r="B255" s="62">
        <v>45811</v>
      </c>
      <c r="C255" s="63" t="s">
        <v>945</v>
      </c>
      <c r="D255" s="67"/>
      <c r="E255" s="67">
        <v>-284875</v>
      </c>
      <c r="F255" s="61" t="str">
        <f t="shared" si="3"/>
        <v>借</v>
      </c>
      <c r="G255" s="64">
        <f>SUM(D$6:E255)</f>
        <v>139053813</v>
      </c>
      <c r="H255" s="61" t="s">
        <v>610</v>
      </c>
      <c r="I255" s="61" t="s">
        <v>625</v>
      </c>
      <c r="J255" s="61" t="s">
        <v>114</v>
      </c>
      <c r="K255" s="64">
        <v>-284875</v>
      </c>
      <c r="L255" s="61"/>
      <c r="M255" s="65" t="s">
        <v>590</v>
      </c>
      <c r="N255" s="61"/>
      <c r="O255" s="61"/>
      <c r="P255" s="61"/>
      <c r="Q255" s="61"/>
      <c r="R255" s="61">
        <v>482760</v>
      </c>
      <c r="S255" s="66" t="s">
        <v>783</v>
      </c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 s="61" t="s">
        <v>537</v>
      </c>
      <c r="B256" s="62">
        <v>45811</v>
      </c>
      <c r="C256" s="63" t="s">
        <v>944</v>
      </c>
      <c r="D256" s="67">
        <v>78843</v>
      </c>
      <c r="E256" s="67"/>
      <c r="F256" s="61" t="str">
        <f t="shared" si="3"/>
        <v>借</v>
      </c>
      <c r="G256" s="64">
        <f>SUM(D$6:E256)</f>
        <v>139132656</v>
      </c>
      <c r="H256" s="61" t="s">
        <v>606</v>
      </c>
      <c r="I256" s="61" t="s">
        <v>620</v>
      </c>
      <c r="J256" s="61" t="s">
        <v>114</v>
      </c>
      <c r="K256" s="64">
        <v>78843</v>
      </c>
      <c r="L256" s="61"/>
      <c r="M256" s="65" t="s">
        <v>590</v>
      </c>
      <c r="N256" s="61"/>
      <c r="O256" s="61"/>
      <c r="P256" s="61"/>
      <c r="Q256" s="61"/>
      <c r="R256" s="61">
        <v>482760</v>
      </c>
      <c r="S256" s="66" t="s">
        <v>783</v>
      </c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 s="61" t="s">
        <v>537</v>
      </c>
      <c r="B257" s="62">
        <v>45812</v>
      </c>
      <c r="C257" s="63" t="s">
        <v>946</v>
      </c>
      <c r="D257" s="67"/>
      <c r="E257" s="67">
        <v>-105032</v>
      </c>
      <c r="F257" s="61" t="str">
        <f t="shared" si="3"/>
        <v>借</v>
      </c>
      <c r="G257" s="64">
        <f>SUM(D$6:E257)</f>
        <v>139027624</v>
      </c>
      <c r="H257" s="61" t="s">
        <v>610</v>
      </c>
      <c r="I257" s="61" t="s">
        <v>625</v>
      </c>
      <c r="J257" s="61" t="s">
        <v>114</v>
      </c>
      <c r="K257" s="64">
        <v>-105032</v>
      </c>
      <c r="L257" s="61"/>
      <c r="M257" s="65" t="s">
        <v>590</v>
      </c>
      <c r="N257" s="61"/>
      <c r="O257" s="61"/>
      <c r="P257" s="61"/>
      <c r="Q257" s="61"/>
      <c r="R257" s="61">
        <v>483256</v>
      </c>
      <c r="S257" s="66" t="s">
        <v>783</v>
      </c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 s="61" t="s">
        <v>537</v>
      </c>
      <c r="B258" s="62">
        <v>45812</v>
      </c>
      <c r="C258" s="63" t="s">
        <v>947</v>
      </c>
      <c r="D258" s="67">
        <v>78843</v>
      </c>
      <c r="E258" s="67"/>
      <c r="F258" s="61" t="str">
        <f t="shared" si="3"/>
        <v>借</v>
      </c>
      <c r="G258" s="64">
        <f>SUM(D$6:E258)</f>
        <v>139106467</v>
      </c>
      <c r="H258" s="61" t="s">
        <v>606</v>
      </c>
      <c r="I258" s="61" t="s">
        <v>620</v>
      </c>
      <c r="J258" s="61" t="s">
        <v>114</v>
      </c>
      <c r="K258" s="64">
        <v>78843</v>
      </c>
      <c r="L258" s="61"/>
      <c r="M258" s="65" t="s">
        <v>590</v>
      </c>
      <c r="N258" s="61"/>
      <c r="O258" s="61"/>
      <c r="P258" s="61"/>
      <c r="Q258" s="61"/>
      <c r="R258" s="61">
        <v>483256</v>
      </c>
      <c r="S258" s="66" t="s">
        <v>783</v>
      </c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 s="61" t="s">
        <v>537</v>
      </c>
      <c r="B259" s="62">
        <v>45817</v>
      </c>
      <c r="C259" s="63" t="s">
        <v>965</v>
      </c>
      <c r="D259" s="67">
        <v>115238</v>
      </c>
      <c r="E259" s="67"/>
      <c r="F259" s="61" t="str">
        <f t="shared" si="3"/>
        <v>借</v>
      </c>
      <c r="G259" s="64">
        <f>SUM(D$6:E259)</f>
        <v>139221705</v>
      </c>
      <c r="H259" s="61" t="s">
        <v>610</v>
      </c>
      <c r="I259" s="61" t="s">
        <v>620</v>
      </c>
      <c r="J259" s="61" t="s">
        <v>114</v>
      </c>
      <c r="K259" s="64">
        <v>115238</v>
      </c>
      <c r="L259" s="61"/>
      <c r="M259" s="65" t="s">
        <v>590</v>
      </c>
      <c r="N259" s="61"/>
      <c r="O259" s="61"/>
      <c r="P259" s="61"/>
      <c r="Q259" s="61"/>
      <c r="R259" s="61">
        <v>483901</v>
      </c>
      <c r="S259" s="66" t="s">
        <v>783</v>
      </c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 s="61" t="s">
        <v>537</v>
      </c>
      <c r="B260" s="62">
        <v>45818</v>
      </c>
      <c r="C260" s="63" t="s">
        <v>975</v>
      </c>
      <c r="D260" s="67"/>
      <c r="E260" s="67">
        <v>-30000000</v>
      </c>
      <c r="F260" s="61" t="str">
        <f t="shared" si="3"/>
        <v>借</v>
      </c>
      <c r="G260" s="64">
        <f>SUM(D$6:E260)</f>
        <v>109221705</v>
      </c>
      <c r="H260" s="61"/>
      <c r="I260" s="61" t="s">
        <v>597</v>
      </c>
      <c r="J260" s="61" t="s">
        <v>114</v>
      </c>
      <c r="K260" s="64">
        <v>-30000000</v>
      </c>
      <c r="L260" s="61" t="s">
        <v>549</v>
      </c>
      <c r="M260" s="65" t="s">
        <v>557</v>
      </c>
      <c r="N260" s="61"/>
      <c r="O260" s="61"/>
      <c r="P260" s="61"/>
      <c r="Q260" s="61"/>
      <c r="R260" s="61">
        <v>485165</v>
      </c>
      <c r="S260" s="66" t="s">
        <v>845</v>
      </c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 s="61" t="s">
        <v>537</v>
      </c>
      <c r="B261" s="62">
        <v>45818</v>
      </c>
      <c r="C261" s="63" t="s">
        <v>968</v>
      </c>
      <c r="D261" s="67"/>
      <c r="E261" s="67">
        <v>-462137</v>
      </c>
      <c r="F261" s="61" t="str">
        <f t="shared" si="3"/>
        <v>借</v>
      </c>
      <c r="G261" s="64">
        <f>SUM(D$6:E261)</f>
        <v>108759568</v>
      </c>
      <c r="H261" s="61" t="s">
        <v>610</v>
      </c>
      <c r="I261" s="61" t="s">
        <v>625</v>
      </c>
      <c r="J261" s="61" t="s">
        <v>114</v>
      </c>
      <c r="K261" s="64">
        <v>-462137</v>
      </c>
      <c r="L261" s="61"/>
      <c r="M261" s="65" t="s">
        <v>590</v>
      </c>
      <c r="N261" s="61"/>
      <c r="O261" s="61"/>
      <c r="P261" s="61"/>
      <c r="Q261" s="61"/>
      <c r="R261" s="61">
        <v>484034</v>
      </c>
      <c r="S261" s="66" t="s">
        <v>783</v>
      </c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 s="61" t="s">
        <v>537</v>
      </c>
      <c r="B262" s="62">
        <v>45819</v>
      </c>
      <c r="C262" s="63" t="s">
        <v>969</v>
      </c>
      <c r="D262" s="67">
        <v>136321</v>
      </c>
      <c r="E262" s="67"/>
      <c r="F262" s="61" t="str">
        <f t="shared" si="3"/>
        <v>借</v>
      </c>
      <c r="G262" s="64">
        <f>SUM(D$6:E262)</f>
        <v>108895889</v>
      </c>
      <c r="H262" s="61" t="s">
        <v>606</v>
      </c>
      <c r="I262" s="61" t="s">
        <v>620</v>
      </c>
      <c r="J262" s="61" t="s">
        <v>114</v>
      </c>
      <c r="K262" s="64">
        <v>136321</v>
      </c>
      <c r="L262" s="61"/>
      <c r="M262" s="65" t="s">
        <v>590</v>
      </c>
      <c r="N262" s="61"/>
      <c r="O262" s="61"/>
      <c r="P262" s="61"/>
      <c r="Q262" s="61"/>
      <c r="R262" s="61">
        <v>484164</v>
      </c>
      <c r="S262" s="66" t="s">
        <v>783</v>
      </c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 s="61" t="s">
        <v>537</v>
      </c>
      <c r="B263" s="62">
        <v>45819</v>
      </c>
      <c r="C263" s="63" t="s">
        <v>970</v>
      </c>
      <c r="D263" s="67">
        <v>482947</v>
      </c>
      <c r="E263" s="67"/>
      <c r="F263" s="61" t="str">
        <f t="shared" ref="F263:F326" si="4">IF(G263&gt;0,"借","貸")</f>
        <v>借</v>
      </c>
      <c r="G263" s="64">
        <f>SUM(D$6:E263)</f>
        <v>109378836</v>
      </c>
      <c r="H263" s="61" t="s">
        <v>610</v>
      </c>
      <c r="I263" s="61" t="s">
        <v>620</v>
      </c>
      <c r="J263" s="61" t="s">
        <v>114</v>
      </c>
      <c r="K263" s="64">
        <v>482947</v>
      </c>
      <c r="L263" s="61"/>
      <c r="M263" s="65" t="s">
        <v>590</v>
      </c>
      <c r="N263" s="61"/>
      <c r="O263" s="61"/>
      <c r="P263" s="61"/>
      <c r="Q263" s="61"/>
      <c r="R263" s="61">
        <v>484164</v>
      </c>
      <c r="S263" s="66" t="s">
        <v>783</v>
      </c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 s="61" t="s">
        <v>537</v>
      </c>
      <c r="B264" s="62">
        <v>45820</v>
      </c>
      <c r="C264" s="63" t="s">
        <v>971</v>
      </c>
      <c r="D264" s="67"/>
      <c r="E264" s="67">
        <v>-523957</v>
      </c>
      <c r="F264" s="61" t="str">
        <f t="shared" si="4"/>
        <v>借</v>
      </c>
      <c r="G264" s="64">
        <f>SUM(D$6:E264)</f>
        <v>108854879</v>
      </c>
      <c r="H264" s="61" t="s">
        <v>610</v>
      </c>
      <c r="I264" s="61" t="s">
        <v>625</v>
      </c>
      <c r="J264" s="61" t="s">
        <v>114</v>
      </c>
      <c r="K264" s="64">
        <v>-523957</v>
      </c>
      <c r="L264" s="61"/>
      <c r="M264" s="65" t="s">
        <v>590</v>
      </c>
      <c r="N264" s="61"/>
      <c r="O264" s="61"/>
      <c r="P264" s="61"/>
      <c r="Q264" s="61"/>
      <c r="R264" s="61">
        <v>484464</v>
      </c>
      <c r="S264" s="66" t="s">
        <v>783</v>
      </c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 s="61" t="s">
        <v>537</v>
      </c>
      <c r="B265" s="62">
        <v>45821</v>
      </c>
      <c r="C265" s="63" t="s">
        <v>973</v>
      </c>
      <c r="D265" s="67">
        <v>62597</v>
      </c>
      <c r="E265" s="67"/>
      <c r="F265" s="61" t="str">
        <f t="shared" si="4"/>
        <v>借</v>
      </c>
      <c r="G265" s="64">
        <f>SUM(D$6:E265)</f>
        <v>108917476</v>
      </c>
      <c r="H265" s="61" t="s">
        <v>610</v>
      </c>
      <c r="I265" s="61" t="s">
        <v>620</v>
      </c>
      <c r="J265" s="61" t="s">
        <v>114</v>
      </c>
      <c r="K265" s="64">
        <v>62597</v>
      </c>
      <c r="L265" s="61"/>
      <c r="M265" s="65" t="s">
        <v>590</v>
      </c>
      <c r="N265" s="61"/>
      <c r="O265" s="61"/>
      <c r="P265" s="61"/>
      <c r="Q265" s="61"/>
      <c r="R265" s="61">
        <v>484669</v>
      </c>
      <c r="S265" s="66" t="s">
        <v>783</v>
      </c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 s="61" t="s">
        <v>537</v>
      </c>
      <c r="B266" s="62">
        <v>45821</v>
      </c>
      <c r="C266" s="63" t="s">
        <v>972</v>
      </c>
      <c r="D266" s="67">
        <v>248076</v>
      </c>
      <c r="E266" s="67"/>
      <c r="F266" s="61" t="str">
        <f t="shared" si="4"/>
        <v>借</v>
      </c>
      <c r="G266" s="64">
        <f>SUM(D$6:E266)</f>
        <v>109165552</v>
      </c>
      <c r="H266" s="61" t="s">
        <v>606</v>
      </c>
      <c r="I266" s="61" t="s">
        <v>620</v>
      </c>
      <c r="J266" s="61" t="s">
        <v>114</v>
      </c>
      <c r="K266" s="64">
        <v>248076</v>
      </c>
      <c r="L266" s="61"/>
      <c r="M266" s="65" t="s">
        <v>590</v>
      </c>
      <c r="N266" s="61"/>
      <c r="O266" s="61"/>
      <c r="P266" s="61"/>
      <c r="Q266" s="61"/>
      <c r="R266" s="61">
        <v>484669</v>
      </c>
      <c r="S266" s="66" t="s">
        <v>783</v>
      </c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 s="61" t="s">
        <v>537</v>
      </c>
      <c r="B267" s="62">
        <v>45824</v>
      </c>
      <c r="C267" s="63" t="s">
        <v>974</v>
      </c>
      <c r="D267" s="67"/>
      <c r="E267" s="67">
        <v>-442523</v>
      </c>
      <c r="F267" s="61" t="str">
        <f t="shared" si="4"/>
        <v>借</v>
      </c>
      <c r="G267" s="64">
        <f>SUM(D$6:E267)</f>
        <v>108723029</v>
      </c>
      <c r="H267" s="61" t="s">
        <v>610</v>
      </c>
      <c r="I267" s="61" t="s">
        <v>625</v>
      </c>
      <c r="J267" s="61" t="s">
        <v>114</v>
      </c>
      <c r="K267" s="64">
        <v>-442523</v>
      </c>
      <c r="L267" s="61"/>
      <c r="M267" s="65" t="s">
        <v>590</v>
      </c>
      <c r="N267" s="61"/>
      <c r="O267" s="61"/>
      <c r="P267" s="61"/>
      <c r="Q267" s="61"/>
      <c r="R267" s="61">
        <v>484954</v>
      </c>
      <c r="S267" s="66" t="s">
        <v>783</v>
      </c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 s="61" t="s">
        <v>537</v>
      </c>
      <c r="B268" s="62">
        <v>45826</v>
      </c>
      <c r="C268" s="63" t="s">
        <v>983</v>
      </c>
      <c r="D268" s="67"/>
      <c r="E268" s="67">
        <v>-1304</v>
      </c>
      <c r="F268" s="61" t="str">
        <f t="shared" si="4"/>
        <v>借</v>
      </c>
      <c r="G268" s="64">
        <f>SUM(D$6:E268)</f>
        <v>108721725</v>
      </c>
      <c r="H268" s="61" t="s">
        <v>606</v>
      </c>
      <c r="I268" s="61" t="s">
        <v>625</v>
      </c>
      <c r="J268" s="61" t="s">
        <v>114</v>
      </c>
      <c r="K268" s="64">
        <v>-1304</v>
      </c>
      <c r="L268" s="61"/>
      <c r="M268" s="65" t="s">
        <v>590</v>
      </c>
      <c r="N268" s="61"/>
      <c r="O268" s="61"/>
      <c r="P268" s="61"/>
      <c r="Q268" s="61"/>
      <c r="R268" s="61">
        <v>485508</v>
      </c>
      <c r="S268" s="66" t="s">
        <v>783</v>
      </c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 s="61" t="s">
        <v>537</v>
      </c>
      <c r="B269" s="62">
        <v>45826</v>
      </c>
      <c r="C269" s="63" t="s">
        <v>984</v>
      </c>
      <c r="D269" s="67">
        <v>186060</v>
      </c>
      <c r="E269" s="67"/>
      <c r="F269" s="61" t="str">
        <f t="shared" si="4"/>
        <v>借</v>
      </c>
      <c r="G269" s="64">
        <f>SUM(D$6:E269)</f>
        <v>108907785</v>
      </c>
      <c r="H269" s="61" t="s">
        <v>610</v>
      </c>
      <c r="I269" s="61" t="s">
        <v>620</v>
      </c>
      <c r="J269" s="61" t="s">
        <v>114</v>
      </c>
      <c r="K269" s="64">
        <v>186060</v>
      </c>
      <c r="L269" s="61"/>
      <c r="M269" s="65" t="s">
        <v>590</v>
      </c>
      <c r="N269" s="61"/>
      <c r="O269" s="61"/>
      <c r="P269" s="61"/>
      <c r="Q269" s="61"/>
      <c r="R269" s="61">
        <v>485508</v>
      </c>
      <c r="S269" s="66" t="s">
        <v>783</v>
      </c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 s="61" t="s">
        <v>537</v>
      </c>
      <c r="B270" s="62">
        <v>45827</v>
      </c>
      <c r="C270" s="63" t="s">
        <v>986</v>
      </c>
      <c r="D270" s="67"/>
      <c r="E270" s="67">
        <v>-45050</v>
      </c>
      <c r="F270" s="61" t="str">
        <f t="shared" si="4"/>
        <v>借</v>
      </c>
      <c r="G270" s="64">
        <f>SUM(D$6:E270)</f>
        <v>108862735</v>
      </c>
      <c r="H270" s="61" t="s">
        <v>610</v>
      </c>
      <c r="I270" s="61" t="s">
        <v>625</v>
      </c>
      <c r="J270" s="61" t="s">
        <v>114</v>
      </c>
      <c r="K270" s="64">
        <v>-45050</v>
      </c>
      <c r="L270" s="61"/>
      <c r="M270" s="65" t="s">
        <v>590</v>
      </c>
      <c r="N270" s="61"/>
      <c r="O270" s="61"/>
      <c r="P270" s="61"/>
      <c r="Q270" s="61"/>
      <c r="R270" s="61">
        <v>485882</v>
      </c>
      <c r="S270" s="66" t="s">
        <v>783</v>
      </c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 s="61" t="s">
        <v>537</v>
      </c>
      <c r="B271" s="62">
        <v>45827</v>
      </c>
      <c r="C271" s="63" t="s">
        <v>985</v>
      </c>
      <c r="D271" s="67">
        <v>92559</v>
      </c>
      <c r="E271" s="67"/>
      <c r="F271" s="61" t="str">
        <f t="shared" si="4"/>
        <v>借</v>
      </c>
      <c r="G271" s="64">
        <f>SUM(D$6:E271)</f>
        <v>108955294</v>
      </c>
      <c r="H271" s="61" t="s">
        <v>606</v>
      </c>
      <c r="I271" s="61" t="s">
        <v>620</v>
      </c>
      <c r="J271" s="61" t="s">
        <v>114</v>
      </c>
      <c r="K271" s="64">
        <v>92559</v>
      </c>
      <c r="L271" s="61"/>
      <c r="M271" s="65" t="s">
        <v>590</v>
      </c>
      <c r="N271" s="61"/>
      <c r="O271" s="61"/>
      <c r="P271" s="61"/>
      <c r="Q271" s="61"/>
      <c r="R271" s="61">
        <v>485882</v>
      </c>
      <c r="S271" s="66" t="s">
        <v>783</v>
      </c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 s="61" t="s">
        <v>537</v>
      </c>
      <c r="B272" s="62">
        <v>45828</v>
      </c>
      <c r="C272" s="63" t="s">
        <v>987</v>
      </c>
      <c r="D272" s="67"/>
      <c r="E272" s="67">
        <v>-71926</v>
      </c>
      <c r="F272" s="61" t="str">
        <f t="shared" si="4"/>
        <v>借</v>
      </c>
      <c r="G272" s="64">
        <f>SUM(D$6:E272)</f>
        <v>108883368</v>
      </c>
      <c r="H272" s="61" t="s">
        <v>610</v>
      </c>
      <c r="I272" s="61" t="s">
        <v>625</v>
      </c>
      <c r="J272" s="61" t="s">
        <v>114</v>
      </c>
      <c r="K272" s="64">
        <v>-71926</v>
      </c>
      <c r="L272" s="61"/>
      <c r="M272" s="65" t="s">
        <v>590</v>
      </c>
      <c r="N272" s="61"/>
      <c r="O272" s="61"/>
      <c r="P272" s="61"/>
      <c r="Q272" s="61"/>
      <c r="R272" s="61">
        <v>486225</v>
      </c>
      <c r="S272" s="66" t="s">
        <v>783</v>
      </c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 s="61" t="s">
        <v>537</v>
      </c>
      <c r="B273" s="62">
        <v>45828</v>
      </c>
      <c r="C273" s="63" t="s">
        <v>988</v>
      </c>
      <c r="D273" s="67">
        <v>58250</v>
      </c>
      <c r="E273" s="67"/>
      <c r="F273" s="61" t="str">
        <f t="shared" si="4"/>
        <v>借</v>
      </c>
      <c r="G273" s="64">
        <f>SUM(D$6:E273)</f>
        <v>108941618</v>
      </c>
      <c r="H273" s="61" t="s">
        <v>606</v>
      </c>
      <c r="I273" s="61" t="s">
        <v>620</v>
      </c>
      <c r="J273" s="61" t="s">
        <v>114</v>
      </c>
      <c r="K273" s="64">
        <v>58250</v>
      </c>
      <c r="L273" s="61"/>
      <c r="M273" s="65" t="s">
        <v>590</v>
      </c>
      <c r="N273" s="61"/>
      <c r="O273" s="61"/>
      <c r="P273" s="61"/>
      <c r="Q273" s="61"/>
      <c r="R273" s="61">
        <v>486225</v>
      </c>
      <c r="S273" s="66" t="s">
        <v>783</v>
      </c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 s="61" t="s">
        <v>537</v>
      </c>
      <c r="B274" s="62">
        <v>45831</v>
      </c>
      <c r="C274" s="63" t="s">
        <v>990</v>
      </c>
      <c r="D274" s="67"/>
      <c r="E274" s="67">
        <v>-103578</v>
      </c>
      <c r="F274" s="61" t="str">
        <f t="shared" si="4"/>
        <v>借</v>
      </c>
      <c r="G274" s="64">
        <f>SUM(D$6:E274)</f>
        <v>108838040</v>
      </c>
      <c r="H274" s="61" t="s">
        <v>610</v>
      </c>
      <c r="I274" s="61" t="s">
        <v>625</v>
      </c>
      <c r="J274" s="61" t="s">
        <v>114</v>
      </c>
      <c r="K274" s="64">
        <v>-103578</v>
      </c>
      <c r="L274" s="61"/>
      <c r="M274" s="65" t="s">
        <v>590</v>
      </c>
      <c r="N274" s="61"/>
      <c r="O274" s="61"/>
      <c r="P274" s="61"/>
      <c r="Q274" s="61"/>
      <c r="R274" s="61">
        <v>486608</v>
      </c>
      <c r="S274" s="66" t="s">
        <v>783</v>
      </c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 s="61" t="s">
        <v>537</v>
      </c>
      <c r="B275" s="62">
        <v>45831</v>
      </c>
      <c r="C275" s="63" t="s">
        <v>989</v>
      </c>
      <c r="D275" s="67"/>
      <c r="E275" s="67">
        <v>-101899</v>
      </c>
      <c r="F275" s="61" t="str">
        <f t="shared" si="4"/>
        <v>借</v>
      </c>
      <c r="G275" s="64">
        <f>SUM(D$6:E275)</f>
        <v>108736141</v>
      </c>
      <c r="H275" s="61" t="s">
        <v>606</v>
      </c>
      <c r="I275" s="61" t="s">
        <v>625</v>
      </c>
      <c r="J275" s="61" t="s">
        <v>114</v>
      </c>
      <c r="K275" s="64">
        <v>-101899</v>
      </c>
      <c r="L275" s="61"/>
      <c r="M275" s="65" t="s">
        <v>590</v>
      </c>
      <c r="N275" s="61"/>
      <c r="O275" s="61"/>
      <c r="P275" s="61"/>
      <c r="Q275" s="61"/>
      <c r="R275" s="61">
        <v>486608</v>
      </c>
      <c r="S275" s="66" t="s">
        <v>783</v>
      </c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 s="61" t="s">
        <v>537</v>
      </c>
      <c r="B276" s="62">
        <v>45832</v>
      </c>
      <c r="C276" s="63" t="s">
        <v>991</v>
      </c>
      <c r="D276" s="67"/>
      <c r="E276" s="67">
        <v>-82871</v>
      </c>
      <c r="F276" s="61" t="str">
        <f t="shared" si="4"/>
        <v>借</v>
      </c>
      <c r="G276" s="64">
        <f>SUM(D$6:E276)</f>
        <v>108653270</v>
      </c>
      <c r="H276" s="61" t="s">
        <v>610</v>
      </c>
      <c r="I276" s="61" t="s">
        <v>625</v>
      </c>
      <c r="J276" s="61" t="s">
        <v>114</v>
      </c>
      <c r="K276" s="64">
        <v>-82871</v>
      </c>
      <c r="L276" s="61"/>
      <c r="M276" s="65" t="s">
        <v>590</v>
      </c>
      <c r="N276" s="61"/>
      <c r="O276" s="61"/>
      <c r="P276" s="61"/>
      <c r="Q276" s="61"/>
      <c r="R276" s="61">
        <v>486921</v>
      </c>
      <c r="S276" s="66" t="s">
        <v>783</v>
      </c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 s="61" t="s">
        <v>537</v>
      </c>
      <c r="B277" s="62">
        <v>45832</v>
      </c>
      <c r="C277" s="63" t="s">
        <v>992</v>
      </c>
      <c r="D277" s="67">
        <v>322214</v>
      </c>
      <c r="E277" s="67"/>
      <c r="F277" s="61" t="str">
        <f t="shared" si="4"/>
        <v>借</v>
      </c>
      <c r="G277" s="64">
        <f>SUM(D$6:E277)</f>
        <v>108975484</v>
      </c>
      <c r="H277" s="61" t="s">
        <v>606</v>
      </c>
      <c r="I277" s="61" t="s">
        <v>620</v>
      </c>
      <c r="J277" s="61" t="s">
        <v>114</v>
      </c>
      <c r="K277" s="64">
        <v>322214</v>
      </c>
      <c r="L277" s="61"/>
      <c r="M277" s="65" t="s">
        <v>590</v>
      </c>
      <c r="N277" s="61"/>
      <c r="O277" s="61"/>
      <c r="P277" s="61"/>
      <c r="Q277" s="61"/>
      <c r="R277" s="61">
        <v>486921</v>
      </c>
      <c r="S277" s="66" t="s">
        <v>783</v>
      </c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 s="61" t="s">
        <v>537</v>
      </c>
      <c r="B278" s="62">
        <v>45833</v>
      </c>
      <c r="C278" s="63" t="s">
        <v>993</v>
      </c>
      <c r="D278" s="67"/>
      <c r="E278" s="67">
        <v>-53385</v>
      </c>
      <c r="F278" s="61" t="str">
        <f t="shared" si="4"/>
        <v>借</v>
      </c>
      <c r="G278" s="64">
        <f>SUM(D$6:E278)</f>
        <v>108922099</v>
      </c>
      <c r="H278" s="61" t="s">
        <v>606</v>
      </c>
      <c r="I278" s="61" t="s">
        <v>625</v>
      </c>
      <c r="J278" s="61" t="s">
        <v>114</v>
      </c>
      <c r="K278" s="64">
        <v>-53385</v>
      </c>
      <c r="L278" s="61"/>
      <c r="M278" s="65" t="s">
        <v>590</v>
      </c>
      <c r="N278" s="61"/>
      <c r="O278" s="61"/>
      <c r="P278" s="61"/>
      <c r="Q278" s="61"/>
      <c r="R278" s="61">
        <v>487276</v>
      </c>
      <c r="S278" s="66" t="s">
        <v>783</v>
      </c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 s="61" t="s">
        <v>537</v>
      </c>
      <c r="B279" s="62">
        <v>45835</v>
      </c>
      <c r="C279" s="63" t="s">
        <v>995</v>
      </c>
      <c r="D279" s="67"/>
      <c r="E279" s="67">
        <v>-426068</v>
      </c>
      <c r="F279" s="61" t="str">
        <f t="shared" si="4"/>
        <v>借</v>
      </c>
      <c r="G279" s="64">
        <f>SUM(D$6:E279)</f>
        <v>108496031</v>
      </c>
      <c r="H279" s="61" t="s">
        <v>610</v>
      </c>
      <c r="I279" s="61" t="s">
        <v>625</v>
      </c>
      <c r="J279" s="61" t="s">
        <v>114</v>
      </c>
      <c r="K279" s="64">
        <v>-426068</v>
      </c>
      <c r="L279" s="61"/>
      <c r="M279" s="65" t="s">
        <v>590</v>
      </c>
      <c r="N279" s="61"/>
      <c r="O279" s="61"/>
      <c r="P279" s="61"/>
      <c r="Q279" s="61"/>
      <c r="R279" s="61">
        <v>487845</v>
      </c>
      <c r="S279" s="66" t="s">
        <v>783</v>
      </c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 s="61" t="s">
        <v>537</v>
      </c>
      <c r="B280" s="62">
        <v>45835</v>
      </c>
      <c r="C280" s="63" t="s">
        <v>994</v>
      </c>
      <c r="D280" s="67"/>
      <c r="E280" s="67">
        <v>-298711</v>
      </c>
      <c r="F280" s="61" t="str">
        <f t="shared" si="4"/>
        <v>借</v>
      </c>
      <c r="G280" s="64">
        <f>SUM(D$6:E280)</f>
        <v>108197320</v>
      </c>
      <c r="H280" s="61" t="s">
        <v>606</v>
      </c>
      <c r="I280" s="61" t="s">
        <v>625</v>
      </c>
      <c r="J280" s="61" t="s">
        <v>114</v>
      </c>
      <c r="K280" s="64">
        <v>-298711</v>
      </c>
      <c r="L280" s="61"/>
      <c r="M280" s="65" t="s">
        <v>590</v>
      </c>
      <c r="N280" s="61"/>
      <c r="O280" s="61"/>
      <c r="P280" s="61"/>
      <c r="Q280" s="61"/>
      <c r="R280" s="61">
        <v>487845</v>
      </c>
      <c r="S280" s="66" t="s">
        <v>783</v>
      </c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 s="61" t="s">
        <v>537</v>
      </c>
      <c r="B281" s="62">
        <v>45838</v>
      </c>
      <c r="C281" s="63" t="s">
        <v>996</v>
      </c>
      <c r="D281" s="67"/>
      <c r="E281" s="67">
        <v>-291684</v>
      </c>
      <c r="F281" s="61" t="str">
        <f t="shared" si="4"/>
        <v>借</v>
      </c>
      <c r="G281" s="64">
        <f>SUM(D$6:E281)</f>
        <v>107905636</v>
      </c>
      <c r="H281" s="61" t="s">
        <v>606</v>
      </c>
      <c r="I281" s="61" t="s">
        <v>625</v>
      </c>
      <c r="J281" s="61" t="s">
        <v>114</v>
      </c>
      <c r="K281" s="64">
        <v>-291684</v>
      </c>
      <c r="L281" s="61"/>
      <c r="M281" s="65" t="s">
        <v>590</v>
      </c>
      <c r="N281" s="61"/>
      <c r="O281" s="61"/>
      <c r="P281" s="61"/>
      <c r="Q281" s="61"/>
      <c r="R281" s="61">
        <v>488078</v>
      </c>
      <c r="S281" s="66" t="s">
        <v>783</v>
      </c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 s="61" t="s">
        <v>537</v>
      </c>
      <c r="B282" s="62">
        <v>45838</v>
      </c>
      <c r="C282" s="63" t="s">
        <v>1007</v>
      </c>
      <c r="D282" s="67"/>
      <c r="E282" s="67">
        <v>-104723</v>
      </c>
      <c r="F282" s="61" t="str">
        <f t="shared" si="4"/>
        <v>借</v>
      </c>
      <c r="G282" s="64">
        <f>SUM(D$6:E282)</f>
        <v>107800913</v>
      </c>
      <c r="H282" s="61" t="s">
        <v>610</v>
      </c>
      <c r="I282" s="61" t="s">
        <v>1006</v>
      </c>
      <c r="J282" s="61" t="s">
        <v>114</v>
      </c>
      <c r="K282" s="64">
        <v>-104723</v>
      </c>
      <c r="L282" s="61"/>
      <c r="M282" s="65" t="s">
        <v>590</v>
      </c>
      <c r="N282" s="61"/>
      <c r="O282" s="61"/>
      <c r="P282" s="61"/>
      <c r="Q282" s="61"/>
      <c r="R282" s="61">
        <v>489192</v>
      </c>
      <c r="S282" s="66" t="s">
        <v>783</v>
      </c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 s="61" t="s">
        <v>537</v>
      </c>
      <c r="B283" s="62">
        <v>45838</v>
      </c>
      <c r="C283" s="63" t="s">
        <v>1005</v>
      </c>
      <c r="D283" s="67"/>
      <c r="E283" s="67">
        <v>-46368</v>
      </c>
      <c r="F283" s="61" t="str">
        <f t="shared" si="4"/>
        <v>借</v>
      </c>
      <c r="G283" s="64">
        <f>SUM(D$6:E283)</f>
        <v>107754545</v>
      </c>
      <c r="H283" s="61" t="s">
        <v>606</v>
      </c>
      <c r="I283" s="61" t="s">
        <v>1006</v>
      </c>
      <c r="J283" s="61" t="s">
        <v>114</v>
      </c>
      <c r="K283" s="64">
        <v>-46368</v>
      </c>
      <c r="L283" s="61"/>
      <c r="M283" s="65" t="s">
        <v>590</v>
      </c>
      <c r="N283" s="61"/>
      <c r="O283" s="61"/>
      <c r="P283" s="61"/>
      <c r="Q283" s="61"/>
      <c r="R283" s="61">
        <v>489192</v>
      </c>
      <c r="S283" s="66" t="s">
        <v>783</v>
      </c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 s="61" t="s">
        <v>537</v>
      </c>
      <c r="B284" s="62">
        <v>45838</v>
      </c>
      <c r="C284" s="63" t="s">
        <v>1008</v>
      </c>
      <c r="D284" s="67">
        <v>45604</v>
      </c>
      <c r="E284" s="67"/>
      <c r="F284" s="61" t="str">
        <f t="shared" si="4"/>
        <v>借</v>
      </c>
      <c r="G284" s="64">
        <f>SUM(D$6:E284)</f>
        <v>107800149</v>
      </c>
      <c r="H284" s="61" t="s">
        <v>606</v>
      </c>
      <c r="I284" s="61" t="s">
        <v>1006</v>
      </c>
      <c r="J284" s="61" t="s">
        <v>114</v>
      </c>
      <c r="K284" s="64">
        <v>45604</v>
      </c>
      <c r="L284" s="61"/>
      <c r="M284" s="65" t="s">
        <v>590</v>
      </c>
      <c r="N284" s="61"/>
      <c r="O284" s="61"/>
      <c r="P284" s="61"/>
      <c r="Q284" s="61"/>
      <c r="R284" s="61">
        <v>489192</v>
      </c>
      <c r="S284" s="66" t="s">
        <v>783</v>
      </c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 s="61" t="s">
        <v>537</v>
      </c>
      <c r="B285" s="62">
        <v>45838</v>
      </c>
      <c r="C285" s="63" t="s">
        <v>997</v>
      </c>
      <c r="D285" s="67">
        <v>92008</v>
      </c>
      <c r="E285" s="67"/>
      <c r="F285" s="61" t="str">
        <f t="shared" si="4"/>
        <v>借</v>
      </c>
      <c r="G285" s="64">
        <f>SUM(D$6:E285)</f>
        <v>107892157</v>
      </c>
      <c r="H285" s="61" t="s">
        <v>610</v>
      </c>
      <c r="I285" s="61" t="s">
        <v>620</v>
      </c>
      <c r="J285" s="61" t="s">
        <v>114</v>
      </c>
      <c r="K285" s="64">
        <v>92008</v>
      </c>
      <c r="L285" s="61"/>
      <c r="M285" s="65" t="s">
        <v>590</v>
      </c>
      <c r="N285" s="61"/>
      <c r="O285" s="61"/>
      <c r="P285" s="61"/>
      <c r="Q285" s="61"/>
      <c r="R285" s="61">
        <v>488078</v>
      </c>
      <c r="S285" s="66" t="s">
        <v>783</v>
      </c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 s="61" t="s">
        <v>537</v>
      </c>
      <c r="B286" s="62">
        <v>45838</v>
      </c>
      <c r="C286" s="63" t="s">
        <v>1009</v>
      </c>
      <c r="D286" s="67">
        <v>103986</v>
      </c>
      <c r="E286" s="67"/>
      <c r="F286" s="61" t="str">
        <f t="shared" si="4"/>
        <v>借</v>
      </c>
      <c r="G286" s="64">
        <f>SUM(D$6:E286)</f>
        <v>107996143</v>
      </c>
      <c r="H286" s="61" t="s">
        <v>610</v>
      </c>
      <c r="I286" s="61" t="s">
        <v>1006</v>
      </c>
      <c r="J286" s="61" t="s">
        <v>114</v>
      </c>
      <c r="K286" s="64">
        <v>103986</v>
      </c>
      <c r="L286" s="61"/>
      <c r="M286" s="65" t="s">
        <v>590</v>
      </c>
      <c r="N286" s="61"/>
      <c r="O286" s="61"/>
      <c r="P286" s="61"/>
      <c r="Q286" s="61"/>
      <c r="R286" s="61">
        <v>489192</v>
      </c>
      <c r="S286" s="66" t="s">
        <v>783</v>
      </c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 s="61" t="s">
        <v>537</v>
      </c>
      <c r="B287" s="62">
        <v>45839</v>
      </c>
      <c r="C287" s="63" t="s">
        <v>1000</v>
      </c>
      <c r="D287" s="67">
        <v>26452</v>
      </c>
      <c r="E287" s="67"/>
      <c r="F287" s="61" t="str">
        <f t="shared" si="4"/>
        <v>借</v>
      </c>
      <c r="G287" s="64">
        <f>SUM(D$6:E287)</f>
        <v>108022595</v>
      </c>
      <c r="H287" s="61" t="s">
        <v>610</v>
      </c>
      <c r="I287" s="61" t="s">
        <v>620</v>
      </c>
      <c r="J287" s="61" t="s">
        <v>114</v>
      </c>
      <c r="K287" s="64">
        <v>26452</v>
      </c>
      <c r="L287" s="61"/>
      <c r="M287" s="65" t="s">
        <v>590</v>
      </c>
      <c r="N287" s="61"/>
      <c r="O287" s="61"/>
      <c r="P287" s="61"/>
      <c r="Q287" s="61"/>
      <c r="R287" s="61">
        <v>488475</v>
      </c>
      <c r="S287" s="66" t="s">
        <v>783</v>
      </c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 s="61" t="s">
        <v>537</v>
      </c>
      <c r="B288" s="62">
        <v>45840</v>
      </c>
      <c r="C288" s="63" t="s">
        <v>1001</v>
      </c>
      <c r="D288" s="67"/>
      <c r="E288" s="67">
        <v>-77324</v>
      </c>
      <c r="F288" s="61" t="str">
        <f t="shared" si="4"/>
        <v>借</v>
      </c>
      <c r="G288" s="64">
        <f>SUM(D$6:E288)</f>
        <v>107945271</v>
      </c>
      <c r="H288" s="61" t="s">
        <v>606</v>
      </c>
      <c r="I288" s="61" t="s">
        <v>625</v>
      </c>
      <c r="J288" s="61" t="s">
        <v>114</v>
      </c>
      <c r="K288" s="64">
        <v>-77324</v>
      </c>
      <c r="L288" s="61"/>
      <c r="M288" s="65" t="s">
        <v>590</v>
      </c>
      <c r="N288" s="61"/>
      <c r="O288" s="61"/>
      <c r="P288" s="61"/>
      <c r="Q288" s="61"/>
      <c r="R288" s="61">
        <v>488801</v>
      </c>
      <c r="S288" s="66" t="s">
        <v>783</v>
      </c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 s="61" t="s">
        <v>537</v>
      </c>
      <c r="B289" s="62">
        <v>45841</v>
      </c>
      <c r="C289" s="63" t="s">
        <v>1010</v>
      </c>
      <c r="D289" s="67"/>
      <c r="E289" s="67">
        <v>-58078</v>
      </c>
      <c r="F289" s="61" t="str">
        <f t="shared" si="4"/>
        <v>借</v>
      </c>
      <c r="G289" s="64">
        <f>SUM(D$6:E289)</f>
        <v>107887193</v>
      </c>
      <c r="H289" s="61" t="s">
        <v>610</v>
      </c>
      <c r="I289" s="61" t="s">
        <v>625</v>
      </c>
      <c r="J289" s="61" t="s">
        <v>114</v>
      </c>
      <c r="K289" s="64">
        <v>-58078</v>
      </c>
      <c r="L289" s="61"/>
      <c r="M289" s="65" t="s">
        <v>590</v>
      </c>
      <c r="N289" s="61"/>
      <c r="O289" s="61"/>
      <c r="P289" s="61"/>
      <c r="Q289" s="61"/>
      <c r="R289" s="61">
        <v>489369</v>
      </c>
      <c r="S289" s="66" t="s">
        <v>783</v>
      </c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 s="61" t="s">
        <v>537</v>
      </c>
      <c r="B290" s="62">
        <v>45842</v>
      </c>
      <c r="C290" s="63" t="s">
        <v>1011</v>
      </c>
      <c r="D290" s="67">
        <v>170855</v>
      </c>
      <c r="E290" s="67"/>
      <c r="F290" s="61" t="str">
        <f t="shared" si="4"/>
        <v>借</v>
      </c>
      <c r="G290" s="64">
        <f>SUM(D$6:E290)</f>
        <v>108058048</v>
      </c>
      <c r="H290" s="61" t="s">
        <v>610</v>
      </c>
      <c r="I290" s="61" t="s">
        <v>620</v>
      </c>
      <c r="J290" s="61" t="s">
        <v>114</v>
      </c>
      <c r="K290" s="64">
        <v>170855</v>
      </c>
      <c r="L290" s="61"/>
      <c r="M290" s="65" t="s">
        <v>590</v>
      </c>
      <c r="N290" s="61"/>
      <c r="O290" s="61"/>
      <c r="P290" s="61"/>
      <c r="Q290" s="61"/>
      <c r="R290" s="61">
        <v>489551</v>
      </c>
      <c r="S290" s="66" t="s">
        <v>783</v>
      </c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 s="61" t="s">
        <v>537</v>
      </c>
      <c r="B291" s="62">
        <v>45845</v>
      </c>
      <c r="C291" s="63" t="s">
        <v>1014</v>
      </c>
      <c r="D291" s="67">
        <v>631657</v>
      </c>
      <c r="E291" s="67"/>
      <c r="F291" s="61" t="str">
        <f t="shared" si="4"/>
        <v>借</v>
      </c>
      <c r="G291" s="64">
        <f>SUM(D$6:E291)</f>
        <v>108689705</v>
      </c>
      <c r="H291" s="61" t="s">
        <v>610</v>
      </c>
      <c r="I291" s="61" t="s">
        <v>620</v>
      </c>
      <c r="J291" s="61" t="s">
        <v>114</v>
      </c>
      <c r="K291" s="64">
        <v>631657</v>
      </c>
      <c r="L291" s="61"/>
      <c r="M291" s="65" t="s">
        <v>590</v>
      </c>
      <c r="N291" s="61"/>
      <c r="O291" s="61"/>
      <c r="P291" s="61"/>
      <c r="Q291" s="61"/>
      <c r="R291" s="61">
        <v>489707</v>
      </c>
      <c r="S291" s="66" t="s">
        <v>783</v>
      </c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 s="61" t="s">
        <v>537</v>
      </c>
      <c r="B292" s="62">
        <v>45846</v>
      </c>
      <c r="C292" s="63" t="s">
        <v>1015</v>
      </c>
      <c r="D292" s="67"/>
      <c r="E292" s="67">
        <v>-277931</v>
      </c>
      <c r="F292" s="61" t="str">
        <f t="shared" si="4"/>
        <v>借</v>
      </c>
      <c r="G292" s="64">
        <f>SUM(D$6:E292)</f>
        <v>108411774</v>
      </c>
      <c r="H292" s="61" t="s">
        <v>610</v>
      </c>
      <c r="I292" s="61" t="s">
        <v>625</v>
      </c>
      <c r="J292" s="61" t="s">
        <v>114</v>
      </c>
      <c r="K292" s="64">
        <v>-277931</v>
      </c>
      <c r="L292" s="61"/>
      <c r="M292" s="65" t="s">
        <v>590</v>
      </c>
      <c r="N292" s="61"/>
      <c r="O292" s="61"/>
      <c r="P292" s="61"/>
      <c r="Q292" s="61"/>
      <c r="R292" s="61">
        <v>489832</v>
      </c>
      <c r="S292" s="66" t="s">
        <v>783</v>
      </c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 s="61" t="s">
        <v>537</v>
      </c>
      <c r="B293" s="62">
        <v>45847</v>
      </c>
      <c r="C293" s="63" t="s">
        <v>1016</v>
      </c>
      <c r="D293" s="67">
        <v>318272</v>
      </c>
      <c r="E293" s="67"/>
      <c r="F293" s="61" t="str">
        <f t="shared" si="4"/>
        <v>借</v>
      </c>
      <c r="G293" s="64">
        <f>SUM(D$6:E293)</f>
        <v>108730046</v>
      </c>
      <c r="H293" s="61" t="s">
        <v>610</v>
      </c>
      <c r="I293" s="61" t="s">
        <v>620</v>
      </c>
      <c r="J293" s="61" t="s">
        <v>114</v>
      </c>
      <c r="K293" s="64">
        <v>318272</v>
      </c>
      <c r="L293" s="61"/>
      <c r="M293" s="65" t="s">
        <v>590</v>
      </c>
      <c r="N293" s="61"/>
      <c r="O293" s="61"/>
      <c r="P293" s="61"/>
      <c r="Q293" s="61"/>
      <c r="R293" s="61">
        <v>490066</v>
      </c>
      <c r="S293" s="66" t="s">
        <v>237</v>
      </c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 s="61" t="s">
        <v>537</v>
      </c>
      <c r="B294" s="62">
        <v>45848</v>
      </c>
      <c r="C294" s="63" t="s">
        <v>1018</v>
      </c>
      <c r="D294" s="67">
        <v>5000000</v>
      </c>
      <c r="E294" s="67"/>
      <c r="F294" s="61" t="str">
        <f t="shared" si="4"/>
        <v>借</v>
      </c>
      <c r="G294" s="64">
        <f>SUM(D$6:E294)</f>
        <v>113730046</v>
      </c>
      <c r="H294" s="61"/>
      <c r="I294" s="61" t="s">
        <v>556</v>
      </c>
      <c r="J294" s="61" t="s">
        <v>114</v>
      </c>
      <c r="K294" s="64">
        <v>5000000</v>
      </c>
      <c r="L294" s="61" t="s">
        <v>549</v>
      </c>
      <c r="M294" s="65" t="s">
        <v>557</v>
      </c>
      <c r="N294" s="61"/>
      <c r="O294" s="61"/>
      <c r="P294" s="61"/>
      <c r="Q294" s="61"/>
      <c r="R294" s="61">
        <v>490883</v>
      </c>
      <c r="S294" s="66" t="s">
        <v>845</v>
      </c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 s="61" t="s">
        <v>537</v>
      </c>
      <c r="B295" s="62">
        <v>45849</v>
      </c>
      <c r="C295" s="63" t="s">
        <v>1019</v>
      </c>
      <c r="D295" s="67">
        <v>271542</v>
      </c>
      <c r="E295" s="67"/>
      <c r="F295" s="61" t="str">
        <f t="shared" si="4"/>
        <v>借</v>
      </c>
      <c r="G295" s="64">
        <f>SUM(D$6:E295)</f>
        <v>114001588</v>
      </c>
      <c r="H295" s="61" t="s">
        <v>610</v>
      </c>
      <c r="I295" s="61" t="s">
        <v>620</v>
      </c>
      <c r="J295" s="61" t="s">
        <v>114</v>
      </c>
      <c r="K295" s="64">
        <v>271542</v>
      </c>
      <c r="L295" s="61"/>
      <c r="M295" s="65" t="s">
        <v>590</v>
      </c>
      <c r="N295" s="61"/>
      <c r="O295" s="61"/>
      <c r="P295" s="61"/>
      <c r="Q295" s="61"/>
      <c r="R295" s="61">
        <v>490363</v>
      </c>
      <c r="S295" s="66" t="s">
        <v>783</v>
      </c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 s="61" t="s">
        <v>537</v>
      </c>
      <c r="B296" s="62">
        <v>45852</v>
      </c>
      <c r="C296" s="63" t="s">
        <v>1020</v>
      </c>
      <c r="D296" s="67">
        <v>417207</v>
      </c>
      <c r="E296" s="67"/>
      <c r="F296" s="61" t="str">
        <f t="shared" si="4"/>
        <v>借</v>
      </c>
      <c r="G296" s="64">
        <f>SUM(D$6:E296)</f>
        <v>114418795</v>
      </c>
      <c r="H296" s="61" t="s">
        <v>610</v>
      </c>
      <c r="I296" s="61" t="s">
        <v>620</v>
      </c>
      <c r="J296" s="61" t="s">
        <v>114</v>
      </c>
      <c r="K296" s="64">
        <v>417207</v>
      </c>
      <c r="L296" s="61"/>
      <c r="M296" s="65" t="s">
        <v>590</v>
      </c>
      <c r="N296" s="61"/>
      <c r="O296" s="61"/>
      <c r="P296" s="61"/>
      <c r="Q296" s="61"/>
      <c r="R296" s="61">
        <v>490635</v>
      </c>
      <c r="S296" s="66" t="s">
        <v>237</v>
      </c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 s="61" t="s">
        <v>537</v>
      </c>
      <c r="B297" s="62">
        <v>45853</v>
      </c>
      <c r="C297" s="63" t="s">
        <v>1021</v>
      </c>
      <c r="D297" s="67"/>
      <c r="E297" s="67">
        <v>-60387</v>
      </c>
      <c r="F297" s="61" t="str">
        <f t="shared" si="4"/>
        <v>借</v>
      </c>
      <c r="G297" s="64">
        <f>SUM(D$6:E297)</f>
        <v>114358408</v>
      </c>
      <c r="H297" s="61" t="s">
        <v>610</v>
      </c>
      <c r="I297" s="61" t="s">
        <v>625</v>
      </c>
      <c r="J297" s="61" t="s">
        <v>114</v>
      </c>
      <c r="K297" s="64">
        <v>-60387</v>
      </c>
      <c r="L297" s="61"/>
      <c r="M297" s="65" t="s">
        <v>590</v>
      </c>
      <c r="N297" s="61"/>
      <c r="O297" s="61"/>
      <c r="P297" s="61"/>
      <c r="Q297" s="61"/>
      <c r="R297" s="61">
        <v>491079</v>
      </c>
      <c r="S297" s="66" t="s">
        <v>237</v>
      </c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 s="61" t="s">
        <v>537</v>
      </c>
      <c r="B298" s="62">
        <v>45854</v>
      </c>
      <c r="C298" s="63" t="s">
        <v>1026</v>
      </c>
      <c r="D298" s="67"/>
      <c r="E298" s="67">
        <v>-36843</v>
      </c>
      <c r="F298" s="61" t="str">
        <f t="shared" si="4"/>
        <v>借</v>
      </c>
      <c r="G298" s="64">
        <f>SUM(D$6:E298)</f>
        <v>114321565</v>
      </c>
      <c r="H298" s="61" t="s">
        <v>610</v>
      </c>
      <c r="I298" s="61" t="s">
        <v>625</v>
      </c>
      <c r="J298" s="61" t="s">
        <v>114</v>
      </c>
      <c r="K298" s="64">
        <v>-36843</v>
      </c>
      <c r="L298" s="61"/>
      <c r="M298" s="65" t="s">
        <v>590</v>
      </c>
      <c r="N298" s="61"/>
      <c r="O298" s="61"/>
      <c r="P298" s="61"/>
      <c r="Q298" s="61"/>
      <c r="R298" s="61">
        <v>491345</v>
      </c>
      <c r="S298" s="66" t="s">
        <v>237</v>
      </c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 s="61" t="s">
        <v>537</v>
      </c>
      <c r="B299" s="62">
        <v>45854</v>
      </c>
      <c r="C299" s="63" t="s">
        <v>1027</v>
      </c>
      <c r="D299" s="67">
        <v>243470</v>
      </c>
      <c r="E299" s="67"/>
      <c r="F299" s="61" t="str">
        <f t="shared" si="4"/>
        <v>借</v>
      </c>
      <c r="G299" s="64">
        <f>SUM(D$6:E299)</f>
        <v>114565035</v>
      </c>
      <c r="H299" s="61" t="s">
        <v>606</v>
      </c>
      <c r="I299" s="61" t="s">
        <v>620</v>
      </c>
      <c r="J299" s="61" t="s">
        <v>114</v>
      </c>
      <c r="K299" s="64">
        <v>243470</v>
      </c>
      <c r="L299" s="61"/>
      <c r="M299" s="65" t="s">
        <v>590</v>
      </c>
      <c r="N299" s="61"/>
      <c r="O299" s="61"/>
      <c r="P299" s="61"/>
      <c r="Q299" s="61"/>
      <c r="R299" s="61">
        <v>491345</v>
      </c>
      <c r="S299" s="66" t="s">
        <v>237</v>
      </c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 s="61" t="s">
        <v>537</v>
      </c>
      <c r="B300" s="62">
        <v>45855</v>
      </c>
      <c r="C300" s="63" t="s">
        <v>1029</v>
      </c>
      <c r="D300" s="67">
        <v>90583</v>
      </c>
      <c r="E300" s="67"/>
      <c r="F300" s="61" t="str">
        <f t="shared" si="4"/>
        <v>借</v>
      </c>
      <c r="G300" s="64">
        <f>SUM(D$6:E300)</f>
        <v>114655618</v>
      </c>
      <c r="H300" s="61" t="s">
        <v>610</v>
      </c>
      <c r="I300" s="61" t="s">
        <v>620</v>
      </c>
      <c r="J300" s="61" t="s">
        <v>114</v>
      </c>
      <c r="K300" s="64">
        <v>90583</v>
      </c>
      <c r="L300" s="61"/>
      <c r="M300" s="65" t="s">
        <v>590</v>
      </c>
      <c r="N300" s="61"/>
      <c r="O300" s="61"/>
      <c r="P300" s="61"/>
      <c r="Q300" s="61"/>
      <c r="R300" s="61">
        <v>491611</v>
      </c>
      <c r="S300" s="66" t="s">
        <v>783</v>
      </c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 s="61" t="s">
        <v>537</v>
      </c>
      <c r="B301" s="62">
        <v>45855</v>
      </c>
      <c r="C301" s="63" t="s">
        <v>1028</v>
      </c>
      <c r="D301" s="67">
        <v>301946</v>
      </c>
      <c r="E301" s="67"/>
      <c r="F301" s="61" t="str">
        <f t="shared" si="4"/>
        <v>借</v>
      </c>
      <c r="G301" s="64">
        <f>SUM(D$6:E301)</f>
        <v>114957564</v>
      </c>
      <c r="H301" s="61" t="s">
        <v>606</v>
      </c>
      <c r="I301" s="61" t="s">
        <v>620</v>
      </c>
      <c r="J301" s="61" t="s">
        <v>114</v>
      </c>
      <c r="K301" s="64">
        <v>301946</v>
      </c>
      <c r="L301" s="61"/>
      <c r="M301" s="65" t="s">
        <v>590</v>
      </c>
      <c r="N301" s="61"/>
      <c r="O301" s="61"/>
      <c r="P301" s="61"/>
      <c r="Q301" s="61"/>
      <c r="R301" s="61">
        <v>491611</v>
      </c>
      <c r="S301" s="66" t="s">
        <v>783</v>
      </c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 s="61" t="s">
        <v>537</v>
      </c>
      <c r="B302" s="62">
        <v>45856</v>
      </c>
      <c r="C302" s="63" t="s">
        <v>1033</v>
      </c>
      <c r="D302" s="67">
        <v>372307</v>
      </c>
      <c r="E302" s="67"/>
      <c r="F302" s="61" t="str">
        <f t="shared" si="4"/>
        <v>借</v>
      </c>
      <c r="G302" s="64">
        <f>SUM(D$6:E302)</f>
        <v>115329871</v>
      </c>
      <c r="H302" s="61" t="s">
        <v>610</v>
      </c>
      <c r="I302" s="61" t="s">
        <v>620</v>
      </c>
      <c r="J302" s="61" t="s">
        <v>114</v>
      </c>
      <c r="K302" s="64">
        <v>372307</v>
      </c>
      <c r="L302" s="61"/>
      <c r="M302" s="65" t="s">
        <v>590</v>
      </c>
      <c r="N302" s="61"/>
      <c r="O302" s="61"/>
      <c r="P302" s="61"/>
      <c r="Q302" s="61"/>
      <c r="R302" s="61">
        <v>491939</v>
      </c>
      <c r="S302" s="66" t="s">
        <v>783</v>
      </c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 s="61" t="s">
        <v>537</v>
      </c>
      <c r="B303" s="62">
        <v>45856</v>
      </c>
      <c r="C303" s="63" t="s">
        <v>1032</v>
      </c>
      <c r="D303" s="67">
        <v>789415</v>
      </c>
      <c r="E303" s="67"/>
      <c r="F303" s="61" t="str">
        <f t="shared" si="4"/>
        <v>借</v>
      </c>
      <c r="G303" s="64">
        <f>SUM(D$6:E303)</f>
        <v>116119286</v>
      </c>
      <c r="H303" s="61" t="s">
        <v>606</v>
      </c>
      <c r="I303" s="61" t="s">
        <v>620</v>
      </c>
      <c r="J303" s="61" t="s">
        <v>114</v>
      </c>
      <c r="K303" s="64">
        <v>789415</v>
      </c>
      <c r="L303" s="61"/>
      <c r="M303" s="65" t="s">
        <v>590</v>
      </c>
      <c r="N303" s="61"/>
      <c r="O303" s="61"/>
      <c r="P303" s="61"/>
      <c r="Q303" s="61"/>
      <c r="R303" s="61">
        <v>491939</v>
      </c>
      <c r="S303" s="66" t="s">
        <v>783</v>
      </c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 s="61" t="s">
        <v>537</v>
      </c>
      <c r="B304" s="62">
        <v>45859</v>
      </c>
      <c r="C304" s="63" t="s">
        <v>1034</v>
      </c>
      <c r="D304" s="67">
        <v>506164</v>
      </c>
      <c r="E304" s="67"/>
      <c r="F304" s="61" t="str">
        <f t="shared" si="4"/>
        <v>借</v>
      </c>
      <c r="G304" s="64">
        <f>SUM(D$6:E304)</f>
        <v>116625450</v>
      </c>
      <c r="H304" s="61" t="s">
        <v>610</v>
      </c>
      <c r="I304" s="61" t="s">
        <v>620</v>
      </c>
      <c r="J304" s="61" t="s">
        <v>114</v>
      </c>
      <c r="K304" s="64">
        <v>506164</v>
      </c>
      <c r="L304" s="61"/>
      <c r="M304" s="65" t="s">
        <v>590</v>
      </c>
      <c r="N304" s="61"/>
      <c r="O304" s="61"/>
      <c r="P304" s="61"/>
      <c r="Q304" s="61"/>
      <c r="R304" s="61">
        <v>492353</v>
      </c>
      <c r="S304" s="66" t="s">
        <v>783</v>
      </c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 s="61" t="s">
        <v>537</v>
      </c>
      <c r="B305" s="62">
        <v>45860</v>
      </c>
      <c r="C305" s="63" t="s">
        <v>1036</v>
      </c>
      <c r="D305" s="67">
        <v>88644</v>
      </c>
      <c r="E305" s="67"/>
      <c r="F305" s="61" t="str">
        <f t="shared" si="4"/>
        <v>借</v>
      </c>
      <c r="G305" s="64">
        <f>SUM(D$6:E305)</f>
        <v>116714094</v>
      </c>
      <c r="H305" s="61" t="s">
        <v>610</v>
      </c>
      <c r="I305" s="61" t="s">
        <v>620</v>
      </c>
      <c r="J305" s="61" t="s">
        <v>114</v>
      </c>
      <c r="K305" s="64">
        <v>88644</v>
      </c>
      <c r="L305" s="61"/>
      <c r="M305" s="65" t="s">
        <v>590</v>
      </c>
      <c r="N305" s="61"/>
      <c r="O305" s="61"/>
      <c r="P305" s="61"/>
      <c r="Q305" s="61"/>
      <c r="R305" s="61">
        <v>492708</v>
      </c>
      <c r="S305" s="66" t="s">
        <v>783</v>
      </c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 s="61" t="s">
        <v>537</v>
      </c>
      <c r="B306" s="62">
        <v>45860</v>
      </c>
      <c r="C306" s="63" t="s">
        <v>1035</v>
      </c>
      <c r="D306" s="67">
        <v>317734</v>
      </c>
      <c r="E306" s="67"/>
      <c r="F306" s="61" t="str">
        <f t="shared" si="4"/>
        <v>借</v>
      </c>
      <c r="G306" s="64">
        <f>SUM(D$6:E306)</f>
        <v>117031828</v>
      </c>
      <c r="H306" s="61" t="s">
        <v>606</v>
      </c>
      <c r="I306" s="61" t="s">
        <v>620</v>
      </c>
      <c r="J306" s="61" t="s">
        <v>114</v>
      </c>
      <c r="K306" s="64">
        <v>317734</v>
      </c>
      <c r="L306" s="61"/>
      <c r="M306" s="65" t="s">
        <v>590</v>
      </c>
      <c r="N306" s="61"/>
      <c r="O306" s="61"/>
      <c r="P306" s="61"/>
      <c r="Q306" s="61"/>
      <c r="R306" s="61">
        <v>492708</v>
      </c>
      <c r="S306" s="66" t="s">
        <v>783</v>
      </c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 s="61" t="s">
        <v>537</v>
      </c>
      <c r="B307" s="62">
        <v>45861</v>
      </c>
      <c r="C307" s="63" t="s">
        <v>1037</v>
      </c>
      <c r="D307" s="67">
        <v>266890</v>
      </c>
      <c r="E307" s="67"/>
      <c r="F307" s="61" t="str">
        <f t="shared" si="4"/>
        <v>借</v>
      </c>
      <c r="G307" s="64">
        <f>SUM(D$6:E307)</f>
        <v>117298718</v>
      </c>
      <c r="H307" s="61" t="s">
        <v>610</v>
      </c>
      <c r="I307" s="61" t="s">
        <v>620</v>
      </c>
      <c r="J307" s="61" t="s">
        <v>114</v>
      </c>
      <c r="K307" s="64">
        <v>266890</v>
      </c>
      <c r="L307" s="61"/>
      <c r="M307" s="65" t="s">
        <v>590</v>
      </c>
      <c r="N307" s="61"/>
      <c r="O307" s="61"/>
      <c r="P307" s="61"/>
      <c r="Q307" s="61"/>
      <c r="R307" s="61">
        <v>493012</v>
      </c>
      <c r="S307" s="66" t="s">
        <v>783</v>
      </c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 s="61" t="s">
        <v>537</v>
      </c>
      <c r="B308" s="62">
        <v>45862</v>
      </c>
      <c r="C308" s="63" t="s">
        <v>1039</v>
      </c>
      <c r="D308" s="67"/>
      <c r="E308" s="67">
        <v>-257194</v>
      </c>
      <c r="F308" s="61" t="str">
        <f t="shared" si="4"/>
        <v>借</v>
      </c>
      <c r="G308" s="64">
        <f>SUM(D$6:E308)</f>
        <v>117041524</v>
      </c>
      <c r="H308" s="61" t="s">
        <v>610</v>
      </c>
      <c r="I308" s="61" t="s">
        <v>625</v>
      </c>
      <c r="J308" s="61" t="s">
        <v>114</v>
      </c>
      <c r="K308" s="64">
        <v>-257194</v>
      </c>
      <c r="L308" s="61"/>
      <c r="M308" s="65" t="s">
        <v>590</v>
      </c>
      <c r="N308" s="61"/>
      <c r="O308" s="61"/>
      <c r="P308" s="61"/>
      <c r="Q308" s="61"/>
      <c r="R308" s="61">
        <v>493183</v>
      </c>
      <c r="S308" s="66" t="s">
        <v>783</v>
      </c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 s="61" t="s">
        <v>537</v>
      </c>
      <c r="B309" s="62">
        <v>45868</v>
      </c>
      <c r="C309" s="63" t="s">
        <v>1040</v>
      </c>
      <c r="D309" s="67">
        <v>125904</v>
      </c>
      <c r="E309" s="67"/>
      <c r="F309" s="61" t="str">
        <f t="shared" si="4"/>
        <v>借</v>
      </c>
      <c r="G309" s="64">
        <f>SUM(D$6:E309)</f>
        <v>117167428</v>
      </c>
      <c r="H309" s="61" t="s">
        <v>610</v>
      </c>
      <c r="I309" s="61" t="s">
        <v>620</v>
      </c>
      <c r="J309" s="61" t="s">
        <v>114</v>
      </c>
      <c r="K309" s="64">
        <v>125904</v>
      </c>
      <c r="L309" s="61"/>
      <c r="M309" s="65" t="s">
        <v>590</v>
      </c>
      <c r="N309" s="61"/>
      <c r="O309" s="61"/>
      <c r="P309" s="61"/>
      <c r="Q309" s="61"/>
      <c r="R309" s="61">
        <v>494259</v>
      </c>
      <c r="S309" s="66" t="s">
        <v>783</v>
      </c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 s="61" t="s">
        <v>537</v>
      </c>
      <c r="B310" s="62">
        <v>45869</v>
      </c>
      <c r="C310" s="63" t="s">
        <v>1050</v>
      </c>
      <c r="D310" s="67"/>
      <c r="E310" s="67">
        <v>-98459</v>
      </c>
      <c r="F310" s="61" t="str">
        <f t="shared" si="4"/>
        <v>借</v>
      </c>
      <c r="G310" s="64">
        <f>SUM(D$6:E310)</f>
        <v>117068969</v>
      </c>
      <c r="H310" s="61" t="s">
        <v>610</v>
      </c>
      <c r="I310" s="61" t="s">
        <v>1047</v>
      </c>
      <c r="J310" s="61" t="s">
        <v>114</v>
      </c>
      <c r="K310" s="64">
        <v>-98459</v>
      </c>
      <c r="L310" s="61"/>
      <c r="M310" s="65" t="s">
        <v>590</v>
      </c>
      <c r="N310" s="61"/>
      <c r="O310" s="61"/>
      <c r="P310" s="61"/>
      <c r="Q310" s="61"/>
      <c r="R310" s="61">
        <v>496183</v>
      </c>
      <c r="S310" s="66" t="s">
        <v>783</v>
      </c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 s="61" t="s">
        <v>537</v>
      </c>
      <c r="B311" s="62">
        <v>45869</v>
      </c>
      <c r="C311" s="63" t="s">
        <v>1049</v>
      </c>
      <c r="D311" s="67"/>
      <c r="E311" s="67">
        <v>-47228</v>
      </c>
      <c r="F311" s="61" t="str">
        <f t="shared" si="4"/>
        <v>借</v>
      </c>
      <c r="G311" s="64">
        <f>SUM(D$6:E311)</f>
        <v>117021741</v>
      </c>
      <c r="H311" s="61" t="s">
        <v>606</v>
      </c>
      <c r="I311" s="61" t="s">
        <v>1047</v>
      </c>
      <c r="J311" s="61" t="s">
        <v>114</v>
      </c>
      <c r="K311" s="64">
        <v>-47228</v>
      </c>
      <c r="L311" s="61"/>
      <c r="M311" s="65" t="s">
        <v>590</v>
      </c>
      <c r="N311" s="61"/>
      <c r="O311" s="61"/>
      <c r="P311" s="61"/>
      <c r="Q311" s="61"/>
      <c r="R311" s="61">
        <v>496183</v>
      </c>
      <c r="S311" s="66" t="s">
        <v>783</v>
      </c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 s="61" t="s">
        <v>537</v>
      </c>
      <c r="B312" s="62">
        <v>45869</v>
      </c>
      <c r="C312" s="63" t="s">
        <v>1046</v>
      </c>
      <c r="D312" s="67">
        <v>44548</v>
      </c>
      <c r="E312" s="67"/>
      <c r="F312" s="61" t="str">
        <f t="shared" si="4"/>
        <v>借</v>
      </c>
      <c r="G312" s="64">
        <f>SUM(D$6:E312)</f>
        <v>117066289</v>
      </c>
      <c r="H312" s="61" t="s">
        <v>606</v>
      </c>
      <c r="I312" s="61" t="s">
        <v>1047</v>
      </c>
      <c r="J312" s="61" t="s">
        <v>114</v>
      </c>
      <c r="K312" s="64">
        <v>44548</v>
      </c>
      <c r="L312" s="61"/>
      <c r="M312" s="65" t="s">
        <v>590</v>
      </c>
      <c r="N312" s="61"/>
      <c r="O312" s="61"/>
      <c r="P312" s="61"/>
      <c r="Q312" s="61"/>
      <c r="R312" s="61">
        <v>496183</v>
      </c>
      <c r="S312" s="66" t="s">
        <v>783</v>
      </c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 s="61" t="s">
        <v>537</v>
      </c>
      <c r="B313" s="62">
        <v>45869</v>
      </c>
      <c r="C313" s="63" t="s">
        <v>1048</v>
      </c>
      <c r="D313" s="67">
        <v>98485</v>
      </c>
      <c r="E313" s="67"/>
      <c r="F313" s="61" t="str">
        <f t="shared" si="4"/>
        <v>借</v>
      </c>
      <c r="G313" s="64">
        <f>SUM(D$6:E313)</f>
        <v>117164774</v>
      </c>
      <c r="H313" s="61" t="s">
        <v>610</v>
      </c>
      <c r="I313" s="61" t="s">
        <v>1047</v>
      </c>
      <c r="J313" s="61" t="s">
        <v>114</v>
      </c>
      <c r="K313" s="64">
        <v>98485</v>
      </c>
      <c r="L313" s="61"/>
      <c r="M313" s="65" t="s">
        <v>590</v>
      </c>
      <c r="N313" s="61"/>
      <c r="O313" s="61"/>
      <c r="P313" s="61"/>
      <c r="Q313" s="61"/>
      <c r="R313" s="61">
        <v>496183</v>
      </c>
      <c r="S313" s="66" t="s">
        <v>783</v>
      </c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 s="61" t="s">
        <v>537</v>
      </c>
      <c r="B314" s="62">
        <v>45874</v>
      </c>
      <c r="C314" s="63" t="s">
        <v>1051</v>
      </c>
      <c r="D314" s="67">
        <v>115618</v>
      </c>
      <c r="E314" s="67"/>
      <c r="F314" s="61" t="str">
        <f t="shared" si="4"/>
        <v>借</v>
      </c>
      <c r="G314" s="64">
        <f>SUM(D$6:E314)</f>
        <v>117280392</v>
      </c>
      <c r="H314" s="61" t="s">
        <v>610</v>
      </c>
      <c r="I314" s="61" t="s">
        <v>620</v>
      </c>
      <c r="J314" s="61" t="s">
        <v>114</v>
      </c>
      <c r="K314" s="64">
        <v>115618</v>
      </c>
      <c r="L314" s="61"/>
      <c r="M314" s="65" t="s">
        <v>590</v>
      </c>
      <c r="N314" s="61"/>
      <c r="O314" s="61"/>
      <c r="P314" s="61"/>
      <c r="Q314" s="61"/>
      <c r="R314" s="61">
        <v>496194</v>
      </c>
      <c r="S314" s="66" t="s">
        <v>783</v>
      </c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 s="61" t="s">
        <v>537</v>
      </c>
      <c r="B315" s="62">
        <v>45875</v>
      </c>
      <c r="C315" s="63" t="s">
        <v>1061</v>
      </c>
      <c r="D315" s="67">
        <v>484197</v>
      </c>
      <c r="E315" s="67"/>
      <c r="F315" s="61" t="str">
        <f t="shared" si="4"/>
        <v>借</v>
      </c>
      <c r="G315" s="64">
        <f>SUM(D$6:E315)</f>
        <v>117764589</v>
      </c>
      <c r="H315" s="61" t="s">
        <v>610</v>
      </c>
      <c r="I315" s="61" t="s">
        <v>620</v>
      </c>
      <c r="J315" s="61" t="s">
        <v>114</v>
      </c>
      <c r="K315" s="64">
        <v>484197</v>
      </c>
      <c r="L315" s="61"/>
      <c r="M315" s="65" t="s">
        <v>590</v>
      </c>
      <c r="N315" s="61"/>
      <c r="O315" s="61"/>
      <c r="P315" s="61"/>
      <c r="Q315" s="61"/>
      <c r="R315" s="61">
        <v>496453</v>
      </c>
      <c r="S315" s="66" t="s">
        <v>783</v>
      </c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 s="61" t="s">
        <v>537</v>
      </c>
      <c r="B316" s="62">
        <v>45876</v>
      </c>
      <c r="C316" s="63" t="s">
        <v>1063</v>
      </c>
      <c r="D316" s="67"/>
      <c r="E316" s="67">
        <v>-127615</v>
      </c>
      <c r="F316" s="61" t="str">
        <f t="shared" si="4"/>
        <v>借</v>
      </c>
      <c r="G316" s="64">
        <f>SUM(D$6:E316)</f>
        <v>117636974</v>
      </c>
      <c r="H316" s="61" t="s">
        <v>610</v>
      </c>
      <c r="I316" s="61" t="s">
        <v>625</v>
      </c>
      <c r="J316" s="61" t="s">
        <v>114</v>
      </c>
      <c r="K316" s="64">
        <v>-127615</v>
      </c>
      <c r="L316" s="61"/>
      <c r="M316" s="65" t="s">
        <v>590</v>
      </c>
      <c r="N316" s="61"/>
      <c r="O316" s="61"/>
      <c r="P316" s="61"/>
      <c r="Q316" s="61"/>
      <c r="R316" s="61">
        <v>496523</v>
      </c>
      <c r="S316" s="66" t="s">
        <v>783</v>
      </c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 s="61" t="s">
        <v>537</v>
      </c>
      <c r="B317" s="62">
        <v>45876</v>
      </c>
      <c r="C317" s="63" t="s">
        <v>1062</v>
      </c>
      <c r="D317" s="67">
        <v>114685</v>
      </c>
      <c r="E317" s="67"/>
      <c r="F317" s="61" t="str">
        <f t="shared" si="4"/>
        <v>借</v>
      </c>
      <c r="G317" s="64">
        <f>SUM(D$6:E317)</f>
        <v>117751659</v>
      </c>
      <c r="H317" s="61" t="s">
        <v>606</v>
      </c>
      <c r="I317" s="61" t="s">
        <v>620</v>
      </c>
      <c r="J317" s="61" t="s">
        <v>114</v>
      </c>
      <c r="K317" s="64">
        <v>114685</v>
      </c>
      <c r="L317" s="61"/>
      <c r="M317" s="65" t="s">
        <v>590</v>
      </c>
      <c r="N317" s="61"/>
      <c r="O317" s="61"/>
      <c r="P317" s="61"/>
      <c r="Q317" s="61"/>
      <c r="R317" s="61">
        <v>496523</v>
      </c>
      <c r="S317" s="66" t="s">
        <v>783</v>
      </c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 s="61" t="s">
        <v>537</v>
      </c>
      <c r="B318" s="62">
        <v>45877</v>
      </c>
      <c r="C318" s="63" t="s">
        <v>1065</v>
      </c>
      <c r="D318" s="67">
        <v>304710</v>
      </c>
      <c r="E318" s="67"/>
      <c r="F318" s="61" t="str">
        <f t="shared" si="4"/>
        <v>借</v>
      </c>
      <c r="G318" s="64">
        <f>SUM(D$6:E318)</f>
        <v>118056369</v>
      </c>
      <c r="H318" s="61" t="s">
        <v>610</v>
      </c>
      <c r="I318" s="61" t="s">
        <v>620</v>
      </c>
      <c r="J318" s="61" t="s">
        <v>114</v>
      </c>
      <c r="K318" s="64">
        <v>304710</v>
      </c>
      <c r="L318" s="61"/>
      <c r="M318" s="65" t="s">
        <v>590</v>
      </c>
      <c r="N318" s="61"/>
      <c r="O318" s="61"/>
      <c r="P318" s="61"/>
      <c r="Q318" s="61"/>
      <c r="R318" s="61">
        <v>496636</v>
      </c>
      <c r="S318" s="66" t="s">
        <v>783</v>
      </c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 s="61" t="s">
        <v>537</v>
      </c>
      <c r="B319" s="62">
        <v>45877</v>
      </c>
      <c r="C319" s="63" t="s">
        <v>1064</v>
      </c>
      <c r="D319" s="67">
        <v>1324832</v>
      </c>
      <c r="E319" s="67"/>
      <c r="F319" s="61" t="str">
        <f t="shared" si="4"/>
        <v>借</v>
      </c>
      <c r="G319" s="64">
        <f>SUM(D$6:E319)</f>
        <v>119381201</v>
      </c>
      <c r="H319" s="61" t="s">
        <v>606</v>
      </c>
      <c r="I319" s="61" t="s">
        <v>620</v>
      </c>
      <c r="J319" s="61" t="s">
        <v>114</v>
      </c>
      <c r="K319" s="64">
        <v>1324832</v>
      </c>
      <c r="L319" s="61"/>
      <c r="M319" s="65" t="s">
        <v>590</v>
      </c>
      <c r="N319" s="61"/>
      <c r="O319" s="61"/>
      <c r="P319" s="61"/>
      <c r="Q319" s="61"/>
      <c r="R319" s="61">
        <v>496636</v>
      </c>
      <c r="S319" s="66" t="s">
        <v>783</v>
      </c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 s="61" t="s">
        <v>537</v>
      </c>
      <c r="B320" s="62">
        <v>45877</v>
      </c>
      <c r="C320" s="63" t="s">
        <v>1115</v>
      </c>
      <c r="D320" s="67">
        <v>2000000</v>
      </c>
      <c r="E320" s="67"/>
      <c r="F320" s="61" t="str">
        <f t="shared" si="4"/>
        <v>借</v>
      </c>
      <c r="G320" s="64">
        <f>SUM(D$6:E320)</f>
        <v>121381201</v>
      </c>
      <c r="H320" s="61"/>
      <c r="I320" s="61" t="s">
        <v>556</v>
      </c>
      <c r="J320" s="61" t="s">
        <v>114</v>
      </c>
      <c r="K320" s="64">
        <v>2000000</v>
      </c>
      <c r="L320" s="61" t="s">
        <v>549</v>
      </c>
      <c r="M320" s="65" t="s">
        <v>557</v>
      </c>
      <c r="N320" s="61"/>
      <c r="O320" s="61"/>
      <c r="P320" s="61"/>
      <c r="Q320" s="61"/>
      <c r="R320" s="61">
        <v>502548</v>
      </c>
      <c r="S320" s="66" t="s">
        <v>845</v>
      </c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 s="61" t="s">
        <v>537</v>
      </c>
      <c r="B321" s="62">
        <v>45880</v>
      </c>
      <c r="C321" s="63" t="s">
        <v>1067</v>
      </c>
      <c r="D321" s="67">
        <v>324160</v>
      </c>
      <c r="E321" s="67"/>
      <c r="F321" s="61" t="str">
        <f t="shared" si="4"/>
        <v>借</v>
      </c>
      <c r="G321" s="64">
        <f>SUM(D$6:E321)</f>
        <v>121705361</v>
      </c>
      <c r="H321" s="61" t="s">
        <v>610</v>
      </c>
      <c r="I321" s="61" t="s">
        <v>620</v>
      </c>
      <c r="J321" s="61" t="s">
        <v>114</v>
      </c>
      <c r="K321" s="64">
        <v>324160</v>
      </c>
      <c r="L321" s="61"/>
      <c r="M321" s="65" t="s">
        <v>590</v>
      </c>
      <c r="N321" s="61"/>
      <c r="O321" s="61"/>
      <c r="P321" s="61"/>
      <c r="Q321" s="61"/>
      <c r="R321" s="61">
        <v>496743</v>
      </c>
      <c r="S321" s="66" t="s">
        <v>783</v>
      </c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 s="61" t="s">
        <v>537</v>
      </c>
      <c r="B322" s="62">
        <v>45880</v>
      </c>
      <c r="C322" s="63" t="s">
        <v>1066</v>
      </c>
      <c r="D322" s="67">
        <v>688125</v>
      </c>
      <c r="E322" s="67"/>
      <c r="F322" s="61" t="str">
        <f t="shared" si="4"/>
        <v>借</v>
      </c>
      <c r="G322" s="64">
        <f>SUM(D$6:E322)</f>
        <v>122393486</v>
      </c>
      <c r="H322" s="61" t="s">
        <v>606</v>
      </c>
      <c r="I322" s="61" t="s">
        <v>620</v>
      </c>
      <c r="J322" s="61" t="s">
        <v>114</v>
      </c>
      <c r="K322" s="64">
        <v>688125</v>
      </c>
      <c r="L322" s="61"/>
      <c r="M322" s="65" t="s">
        <v>590</v>
      </c>
      <c r="N322" s="61"/>
      <c r="O322" s="61"/>
      <c r="P322" s="61"/>
      <c r="Q322" s="61"/>
      <c r="R322" s="61">
        <v>496743</v>
      </c>
      <c r="S322" s="66" t="s">
        <v>783</v>
      </c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 s="61" t="s">
        <v>537</v>
      </c>
      <c r="B323" s="62">
        <v>45881</v>
      </c>
      <c r="C323" s="63" t="s">
        <v>1068</v>
      </c>
      <c r="D323" s="67"/>
      <c r="E323" s="67">
        <v>-162929</v>
      </c>
      <c r="F323" s="61" t="str">
        <f t="shared" si="4"/>
        <v>借</v>
      </c>
      <c r="G323" s="64">
        <f>SUM(D$6:E323)</f>
        <v>122230557</v>
      </c>
      <c r="H323" s="61" t="s">
        <v>606</v>
      </c>
      <c r="I323" s="61" t="s">
        <v>625</v>
      </c>
      <c r="J323" s="61" t="s">
        <v>114</v>
      </c>
      <c r="K323" s="64">
        <v>-162929</v>
      </c>
      <c r="L323" s="61"/>
      <c r="M323" s="65" t="s">
        <v>590</v>
      </c>
      <c r="N323" s="61"/>
      <c r="O323" s="61"/>
      <c r="P323" s="61"/>
      <c r="Q323" s="61"/>
      <c r="R323" s="61">
        <v>496983</v>
      </c>
      <c r="S323" s="66" t="s">
        <v>783</v>
      </c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 s="61" t="s">
        <v>537</v>
      </c>
      <c r="B324" s="62">
        <v>45883</v>
      </c>
      <c r="C324" s="63" t="s">
        <v>1069</v>
      </c>
      <c r="D324" s="67"/>
      <c r="E324" s="67">
        <v>-179665</v>
      </c>
      <c r="F324" s="61" t="str">
        <f t="shared" si="4"/>
        <v>借</v>
      </c>
      <c r="G324" s="64">
        <f>SUM(D$6:E324)</f>
        <v>122050892</v>
      </c>
      <c r="H324" s="61" t="s">
        <v>610</v>
      </c>
      <c r="I324" s="61" t="s">
        <v>625</v>
      </c>
      <c r="J324" s="61" t="s">
        <v>114</v>
      </c>
      <c r="K324" s="64">
        <v>-179665</v>
      </c>
      <c r="L324" s="61"/>
      <c r="M324" s="65" t="s">
        <v>590</v>
      </c>
      <c r="N324" s="61"/>
      <c r="O324" s="61"/>
      <c r="P324" s="61"/>
      <c r="Q324" s="61"/>
      <c r="R324" s="61">
        <v>497434</v>
      </c>
      <c r="S324" s="66" t="s">
        <v>783</v>
      </c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 s="61" t="s">
        <v>537</v>
      </c>
      <c r="B325" s="62">
        <v>45883</v>
      </c>
      <c r="C325" s="63" t="s">
        <v>1070</v>
      </c>
      <c r="D325" s="67">
        <v>77129</v>
      </c>
      <c r="E325" s="67"/>
      <c r="F325" s="61" t="str">
        <f t="shared" si="4"/>
        <v>借</v>
      </c>
      <c r="G325" s="64">
        <f>SUM(D$6:E325)</f>
        <v>122128021</v>
      </c>
      <c r="H325" s="61" t="s">
        <v>606</v>
      </c>
      <c r="I325" s="61" t="s">
        <v>620</v>
      </c>
      <c r="J325" s="61" t="s">
        <v>114</v>
      </c>
      <c r="K325" s="64">
        <v>77129</v>
      </c>
      <c r="L325" s="61"/>
      <c r="M325" s="65" t="s">
        <v>590</v>
      </c>
      <c r="N325" s="61"/>
      <c r="O325" s="61"/>
      <c r="P325" s="61"/>
      <c r="Q325" s="61"/>
      <c r="R325" s="61">
        <v>497434</v>
      </c>
      <c r="S325" s="66" t="s">
        <v>783</v>
      </c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 s="61" t="s">
        <v>537</v>
      </c>
      <c r="B326" s="62">
        <v>45884</v>
      </c>
      <c r="C326" s="63" t="s">
        <v>1071</v>
      </c>
      <c r="D326" s="67">
        <v>362708</v>
      </c>
      <c r="E326" s="67"/>
      <c r="F326" s="61" t="str">
        <f t="shared" si="4"/>
        <v>借</v>
      </c>
      <c r="G326" s="64">
        <f>SUM(D$6:E326)</f>
        <v>122490729</v>
      </c>
      <c r="H326" s="61" t="s">
        <v>610</v>
      </c>
      <c r="I326" s="61" t="s">
        <v>620</v>
      </c>
      <c r="J326" s="61" t="s">
        <v>114</v>
      </c>
      <c r="K326" s="64">
        <v>362708</v>
      </c>
      <c r="L326" s="61"/>
      <c r="M326" s="65" t="s">
        <v>590</v>
      </c>
      <c r="N326" s="61"/>
      <c r="O326" s="61"/>
      <c r="P326" s="61"/>
      <c r="Q326" s="61"/>
      <c r="R326" s="61">
        <v>497687</v>
      </c>
      <c r="S326" s="66" t="s">
        <v>783</v>
      </c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 s="61" t="s">
        <v>537</v>
      </c>
      <c r="B327" s="62">
        <v>45887</v>
      </c>
      <c r="C327" s="63" t="s">
        <v>1073</v>
      </c>
      <c r="D327" s="67"/>
      <c r="E327" s="67">
        <v>-813636</v>
      </c>
      <c r="F327" s="61" t="str">
        <f t="shared" ref="F327:F390" si="5">IF(G327&gt;0,"借","貸")</f>
        <v>借</v>
      </c>
      <c r="G327" s="64">
        <f>SUM(D$6:E327)</f>
        <v>121677093</v>
      </c>
      <c r="H327" s="61" t="s">
        <v>610</v>
      </c>
      <c r="I327" s="61" t="s">
        <v>625</v>
      </c>
      <c r="J327" s="61" t="s">
        <v>114</v>
      </c>
      <c r="K327" s="64">
        <v>-813636</v>
      </c>
      <c r="L327" s="61"/>
      <c r="M327" s="65" t="s">
        <v>590</v>
      </c>
      <c r="N327" s="61"/>
      <c r="O327" s="61"/>
      <c r="P327" s="61"/>
      <c r="Q327" s="61"/>
      <c r="R327" s="61">
        <v>497866</v>
      </c>
      <c r="S327" s="66" t="s">
        <v>783</v>
      </c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 s="61" t="s">
        <v>537</v>
      </c>
      <c r="B328" s="62">
        <v>45887</v>
      </c>
      <c r="C328" s="63" t="s">
        <v>1072</v>
      </c>
      <c r="D328" s="67">
        <v>100873</v>
      </c>
      <c r="E328" s="67"/>
      <c r="F328" s="61" t="str">
        <f t="shared" si="5"/>
        <v>借</v>
      </c>
      <c r="G328" s="64">
        <f>SUM(D$6:E328)</f>
        <v>121777966</v>
      </c>
      <c r="H328" s="61" t="s">
        <v>606</v>
      </c>
      <c r="I328" s="61" t="s">
        <v>620</v>
      </c>
      <c r="J328" s="61" t="s">
        <v>114</v>
      </c>
      <c r="K328" s="64">
        <v>100873</v>
      </c>
      <c r="L328" s="61"/>
      <c r="M328" s="65" t="s">
        <v>590</v>
      </c>
      <c r="N328" s="61"/>
      <c r="O328" s="61"/>
      <c r="P328" s="61"/>
      <c r="Q328" s="61"/>
      <c r="R328" s="61">
        <v>497866</v>
      </c>
      <c r="S328" s="66" t="s">
        <v>783</v>
      </c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 s="61" t="s">
        <v>537</v>
      </c>
      <c r="B329" s="62">
        <v>45888</v>
      </c>
      <c r="C329" s="63" t="s">
        <v>1074</v>
      </c>
      <c r="D329" s="67">
        <v>43858</v>
      </c>
      <c r="E329" s="67"/>
      <c r="F329" s="61" t="str">
        <f t="shared" si="5"/>
        <v>借</v>
      </c>
      <c r="G329" s="64">
        <f>SUM(D$6:E329)</f>
        <v>121821824</v>
      </c>
      <c r="H329" s="61" t="s">
        <v>610</v>
      </c>
      <c r="I329" s="61" t="s">
        <v>620</v>
      </c>
      <c r="J329" s="61" t="s">
        <v>114</v>
      </c>
      <c r="K329" s="64">
        <v>43858</v>
      </c>
      <c r="L329" s="61"/>
      <c r="M329" s="65" t="s">
        <v>590</v>
      </c>
      <c r="N329" s="61"/>
      <c r="O329" s="61"/>
      <c r="P329" s="61"/>
      <c r="Q329" s="61"/>
      <c r="R329" s="61">
        <v>498265</v>
      </c>
      <c r="S329" s="66" t="s">
        <v>783</v>
      </c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 s="61" t="s">
        <v>537</v>
      </c>
      <c r="B330" s="62">
        <v>45889</v>
      </c>
      <c r="C330" s="63" t="s">
        <v>1076</v>
      </c>
      <c r="D330" s="67"/>
      <c r="E330" s="67">
        <v>-520846</v>
      </c>
      <c r="F330" s="61" t="str">
        <f t="shared" si="5"/>
        <v>借</v>
      </c>
      <c r="G330" s="64">
        <f>SUM(D$6:E330)</f>
        <v>121300978</v>
      </c>
      <c r="H330" s="61" t="s">
        <v>610</v>
      </c>
      <c r="I330" s="61" t="s">
        <v>625</v>
      </c>
      <c r="J330" s="61" t="s">
        <v>114</v>
      </c>
      <c r="K330" s="64">
        <v>-520846</v>
      </c>
      <c r="L330" s="61"/>
      <c r="M330" s="65" t="s">
        <v>590</v>
      </c>
      <c r="N330" s="61"/>
      <c r="O330" s="61"/>
      <c r="P330" s="61"/>
      <c r="Q330" s="61"/>
      <c r="R330" s="61">
        <v>498668</v>
      </c>
      <c r="S330" s="66" t="s">
        <v>783</v>
      </c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 s="61" t="s">
        <v>537</v>
      </c>
      <c r="B331" s="62">
        <v>45890</v>
      </c>
      <c r="C331" s="63" t="s">
        <v>1077</v>
      </c>
      <c r="D331" s="67"/>
      <c r="E331" s="67">
        <v>-186420</v>
      </c>
      <c r="F331" s="61" t="str">
        <f t="shared" si="5"/>
        <v>借</v>
      </c>
      <c r="G331" s="64">
        <f>SUM(D$6:E331)</f>
        <v>121114558</v>
      </c>
      <c r="H331" s="61" t="s">
        <v>610</v>
      </c>
      <c r="I331" s="61" t="s">
        <v>625</v>
      </c>
      <c r="J331" s="61" t="s">
        <v>114</v>
      </c>
      <c r="K331" s="64">
        <v>-186420</v>
      </c>
      <c r="L331" s="61"/>
      <c r="M331" s="65" t="s">
        <v>590</v>
      </c>
      <c r="N331" s="61"/>
      <c r="O331" s="61"/>
      <c r="P331" s="61"/>
      <c r="Q331" s="61"/>
      <c r="R331" s="61">
        <v>498982</v>
      </c>
      <c r="S331" s="66" t="s">
        <v>783</v>
      </c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 s="61" t="s">
        <v>537</v>
      </c>
      <c r="B332" s="62">
        <v>45891</v>
      </c>
      <c r="C332" s="63" t="s">
        <v>1078</v>
      </c>
      <c r="D332" s="67">
        <v>106872</v>
      </c>
      <c r="E332" s="67"/>
      <c r="F332" s="61" t="str">
        <f t="shared" si="5"/>
        <v>借</v>
      </c>
      <c r="G332" s="64">
        <f>SUM(D$6:E332)</f>
        <v>121221430</v>
      </c>
      <c r="H332" s="61" t="s">
        <v>610</v>
      </c>
      <c r="I332" s="61" t="s">
        <v>620</v>
      </c>
      <c r="J332" s="61" t="s">
        <v>114</v>
      </c>
      <c r="K332" s="64">
        <v>106872</v>
      </c>
      <c r="L332" s="61"/>
      <c r="M332" s="65" t="s">
        <v>590</v>
      </c>
      <c r="N332" s="61"/>
      <c r="O332" s="61"/>
      <c r="P332" s="61"/>
      <c r="Q332" s="61"/>
      <c r="R332" s="61">
        <v>499396</v>
      </c>
      <c r="S332" s="66" t="s">
        <v>783</v>
      </c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 s="61" t="s">
        <v>537</v>
      </c>
      <c r="B333" s="62">
        <v>45894</v>
      </c>
      <c r="C333" s="63" t="s">
        <v>1079</v>
      </c>
      <c r="D333" s="67"/>
      <c r="E333" s="67">
        <v>-313612</v>
      </c>
      <c r="F333" s="61" t="str">
        <f t="shared" si="5"/>
        <v>借</v>
      </c>
      <c r="G333" s="64">
        <f>SUM(D$6:E333)</f>
        <v>120907818</v>
      </c>
      <c r="H333" s="61" t="s">
        <v>610</v>
      </c>
      <c r="I333" s="61" t="s">
        <v>625</v>
      </c>
      <c r="J333" s="61" t="s">
        <v>114</v>
      </c>
      <c r="K333" s="64">
        <v>-313612</v>
      </c>
      <c r="L333" s="61"/>
      <c r="M333" s="65" t="s">
        <v>590</v>
      </c>
      <c r="N333" s="61"/>
      <c r="O333" s="61"/>
      <c r="P333" s="61"/>
      <c r="Q333" s="61"/>
      <c r="R333" s="61">
        <v>499791</v>
      </c>
      <c r="S333" s="66" t="s">
        <v>783</v>
      </c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 s="61" t="s">
        <v>537</v>
      </c>
      <c r="B334" s="62">
        <v>45895</v>
      </c>
      <c r="C334" s="63" t="s">
        <v>1080</v>
      </c>
      <c r="D334" s="67"/>
      <c r="E334" s="67">
        <v>-238192</v>
      </c>
      <c r="F334" s="61" t="str">
        <f t="shared" si="5"/>
        <v>借</v>
      </c>
      <c r="G334" s="64">
        <f>SUM(D$6:E334)</f>
        <v>120669626</v>
      </c>
      <c r="H334" s="61" t="s">
        <v>606</v>
      </c>
      <c r="I334" s="61" t="s">
        <v>625</v>
      </c>
      <c r="J334" s="61" t="s">
        <v>114</v>
      </c>
      <c r="K334" s="64">
        <v>-238192</v>
      </c>
      <c r="L334" s="61"/>
      <c r="M334" s="65" t="s">
        <v>590</v>
      </c>
      <c r="N334" s="61"/>
      <c r="O334" s="61"/>
      <c r="P334" s="61"/>
      <c r="Q334" s="61"/>
      <c r="R334" s="61">
        <v>500166</v>
      </c>
      <c r="S334" s="66" t="s">
        <v>783</v>
      </c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 s="61" t="s">
        <v>537</v>
      </c>
      <c r="B335" s="62">
        <v>45895</v>
      </c>
      <c r="C335" s="63" t="s">
        <v>1081</v>
      </c>
      <c r="D335" s="67">
        <v>11972</v>
      </c>
      <c r="E335" s="67"/>
      <c r="F335" s="61" t="str">
        <f t="shared" si="5"/>
        <v>借</v>
      </c>
      <c r="G335" s="64">
        <f>SUM(D$6:E335)</f>
        <v>120681598</v>
      </c>
      <c r="H335" s="61" t="s">
        <v>610</v>
      </c>
      <c r="I335" s="61" t="s">
        <v>620</v>
      </c>
      <c r="J335" s="61" t="s">
        <v>114</v>
      </c>
      <c r="K335" s="64">
        <v>11972</v>
      </c>
      <c r="L335" s="61"/>
      <c r="M335" s="65" t="s">
        <v>590</v>
      </c>
      <c r="N335" s="61"/>
      <c r="O335" s="61"/>
      <c r="P335" s="61"/>
      <c r="Q335" s="61"/>
      <c r="R335" s="61">
        <v>500166</v>
      </c>
      <c r="S335" s="66" t="s">
        <v>783</v>
      </c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 s="61" t="s">
        <v>537</v>
      </c>
      <c r="B336" s="62">
        <v>45896</v>
      </c>
      <c r="C336" s="63" t="s">
        <v>1104</v>
      </c>
      <c r="D336" s="67"/>
      <c r="E336" s="67">
        <v>-298685</v>
      </c>
      <c r="F336" s="61" t="str">
        <f t="shared" si="5"/>
        <v>借</v>
      </c>
      <c r="G336" s="64">
        <f>SUM(D$6:E336)</f>
        <v>120382913</v>
      </c>
      <c r="H336" s="61" t="s">
        <v>610</v>
      </c>
      <c r="I336" s="61" t="s">
        <v>625</v>
      </c>
      <c r="J336" s="61" t="s">
        <v>114</v>
      </c>
      <c r="K336" s="64">
        <v>-298685</v>
      </c>
      <c r="L336" s="61"/>
      <c r="M336" s="65" t="s">
        <v>590</v>
      </c>
      <c r="N336" s="61"/>
      <c r="O336" s="61"/>
      <c r="P336" s="61"/>
      <c r="Q336" s="61"/>
      <c r="R336" s="61">
        <v>500572</v>
      </c>
      <c r="S336" s="66" t="s">
        <v>783</v>
      </c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 s="61" t="s">
        <v>537</v>
      </c>
      <c r="B337" s="62">
        <v>45896</v>
      </c>
      <c r="C337" s="63" t="s">
        <v>1103</v>
      </c>
      <c r="D337" s="67"/>
      <c r="E337" s="67">
        <v>-294904</v>
      </c>
      <c r="F337" s="61" t="str">
        <f t="shared" si="5"/>
        <v>借</v>
      </c>
      <c r="G337" s="64">
        <f>SUM(D$6:E337)</f>
        <v>120088009</v>
      </c>
      <c r="H337" s="61" t="s">
        <v>606</v>
      </c>
      <c r="I337" s="61" t="s">
        <v>625</v>
      </c>
      <c r="J337" s="61" t="s">
        <v>114</v>
      </c>
      <c r="K337" s="64">
        <v>-294904</v>
      </c>
      <c r="L337" s="61"/>
      <c r="M337" s="65" t="s">
        <v>590</v>
      </c>
      <c r="N337" s="61"/>
      <c r="O337" s="61"/>
      <c r="P337" s="61"/>
      <c r="Q337" s="61"/>
      <c r="R337" s="61">
        <v>500572</v>
      </c>
      <c r="S337" s="66" t="s">
        <v>783</v>
      </c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 s="61" t="s">
        <v>537</v>
      </c>
      <c r="B338" s="62">
        <v>45898</v>
      </c>
      <c r="C338" s="63" t="s">
        <v>1118</v>
      </c>
      <c r="D338" s="67"/>
      <c r="E338" s="67">
        <v>-79764</v>
      </c>
      <c r="F338" s="61" t="str">
        <f t="shared" si="5"/>
        <v>借</v>
      </c>
      <c r="G338" s="64">
        <f>SUM(D$6:E338)</f>
        <v>120008245</v>
      </c>
      <c r="H338" s="61" t="s">
        <v>610</v>
      </c>
      <c r="I338" s="61" t="s">
        <v>1117</v>
      </c>
      <c r="J338" s="61" t="s">
        <v>114</v>
      </c>
      <c r="K338" s="64">
        <v>-79764</v>
      </c>
      <c r="L338" s="61"/>
      <c r="M338" s="65" t="s">
        <v>590</v>
      </c>
      <c r="N338" s="61"/>
      <c r="O338" s="61"/>
      <c r="P338" s="61"/>
      <c r="Q338" s="61"/>
      <c r="R338" s="61">
        <v>502398</v>
      </c>
      <c r="S338" s="66" t="s">
        <v>783</v>
      </c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 s="61" t="s">
        <v>537</v>
      </c>
      <c r="B339" s="62">
        <v>45898</v>
      </c>
      <c r="C339" s="63" t="s">
        <v>1116</v>
      </c>
      <c r="D339" s="67"/>
      <c r="E339" s="67">
        <v>-42976</v>
      </c>
      <c r="F339" s="61" t="str">
        <f t="shared" si="5"/>
        <v>借</v>
      </c>
      <c r="G339" s="64">
        <f>SUM(D$6:E339)</f>
        <v>119965269</v>
      </c>
      <c r="H339" s="61" t="s">
        <v>606</v>
      </c>
      <c r="I339" s="61" t="s">
        <v>1117</v>
      </c>
      <c r="J339" s="61" t="s">
        <v>114</v>
      </c>
      <c r="K339" s="64">
        <v>-42976</v>
      </c>
      <c r="L339" s="61"/>
      <c r="M339" s="65" t="s">
        <v>590</v>
      </c>
      <c r="N339" s="61"/>
      <c r="O339" s="61"/>
      <c r="P339" s="61"/>
      <c r="Q339" s="61"/>
      <c r="R339" s="61">
        <v>502398</v>
      </c>
      <c r="S339" s="66" t="s">
        <v>783</v>
      </c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 s="61" t="s">
        <v>537</v>
      </c>
      <c r="B340" s="62">
        <v>45898</v>
      </c>
      <c r="C340" s="63" t="s">
        <v>1119</v>
      </c>
      <c r="D340" s="67">
        <v>38811</v>
      </c>
      <c r="E340" s="67"/>
      <c r="F340" s="61" t="str">
        <f t="shared" si="5"/>
        <v>借</v>
      </c>
      <c r="G340" s="64">
        <f>SUM(D$6:E340)</f>
        <v>120004080</v>
      </c>
      <c r="H340" s="61" t="s">
        <v>606</v>
      </c>
      <c r="I340" s="61" t="s">
        <v>1117</v>
      </c>
      <c r="J340" s="61" t="s">
        <v>114</v>
      </c>
      <c r="K340" s="64">
        <v>38811</v>
      </c>
      <c r="L340" s="61"/>
      <c r="M340" s="65" t="s">
        <v>590</v>
      </c>
      <c r="N340" s="61"/>
      <c r="O340" s="61"/>
      <c r="P340" s="61"/>
      <c r="Q340" s="61"/>
      <c r="R340" s="61">
        <v>502398</v>
      </c>
      <c r="S340" s="66" t="s">
        <v>783</v>
      </c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 s="61" t="s">
        <v>537</v>
      </c>
      <c r="B341" s="62">
        <v>45898</v>
      </c>
      <c r="C341" s="63" t="s">
        <v>1105</v>
      </c>
      <c r="D341" s="67">
        <v>46882</v>
      </c>
      <c r="E341" s="67"/>
      <c r="F341" s="61" t="str">
        <f t="shared" si="5"/>
        <v>借</v>
      </c>
      <c r="G341" s="64">
        <f>SUM(D$6:E341)</f>
        <v>120050962</v>
      </c>
      <c r="H341" s="61" t="s">
        <v>606</v>
      </c>
      <c r="I341" s="61" t="s">
        <v>620</v>
      </c>
      <c r="J341" s="61" t="s">
        <v>114</v>
      </c>
      <c r="K341" s="64">
        <v>46882</v>
      </c>
      <c r="L341" s="61"/>
      <c r="M341" s="65" t="s">
        <v>590</v>
      </c>
      <c r="N341" s="61"/>
      <c r="O341" s="61"/>
      <c r="P341" s="61"/>
      <c r="Q341" s="61"/>
      <c r="R341" s="61">
        <v>501036</v>
      </c>
      <c r="S341" s="66" t="s">
        <v>783</v>
      </c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 s="61" t="s">
        <v>537</v>
      </c>
      <c r="B342" s="62">
        <v>45898</v>
      </c>
      <c r="C342" s="63" t="s">
        <v>1120</v>
      </c>
      <c r="D342" s="67">
        <v>82075</v>
      </c>
      <c r="E342" s="67"/>
      <c r="F342" s="61" t="str">
        <f t="shared" si="5"/>
        <v>借</v>
      </c>
      <c r="G342" s="64">
        <f>SUM(D$6:E342)</f>
        <v>120133037</v>
      </c>
      <c r="H342" s="61" t="s">
        <v>610</v>
      </c>
      <c r="I342" s="61" t="s">
        <v>1117</v>
      </c>
      <c r="J342" s="61" t="s">
        <v>114</v>
      </c>
      <c r="K342" s="64">
        <v>82075</v>
      </c>
      <c r="L342" s="61"/>
      <c r="M342" s="65" t="s">
        <v>590</v>
      </c>
      <c r="N342" s="61"/>
      <c r="O342" s="61"/>
      <c r="P342" s="61"/>
      <c r="Q342" s="61"/>
      <c r="R342" s="61">
        <v>502398</v>
      </c>
      <c r="S342" s="66" t="s">
        <v>783</v>
      </c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 s="61" t="s">
        <v>537</v>
      </c>
      <c r="B343" s="62">
        <v>45898</v>
      </c>
      <c r="C343" s="63" t="s">
        <v>1106</v>
      </c>
      <c r="D343" s="67">
        <v>250517</v>
      </c>
      <c r="E343" s="67"/>
      <c r="F343" s="61" t="str">
        <f t="shared" si="5"/>
        <v>借</v>
      </c>
      <c r="G343" s="64">
        <f>SUM(D$6:E343)</f>
        <v>120383554</v>
      </c>
      <c r="H343" s="61" t="s">
        <v>610</v>
      </c>
      <c r="I343" s="61" t="s">
        <v>620</v>
      </c>
      <c r="J343" s="61" t="s">
        <v>114</v>
      </c>
      <c r="K343" s="64">
        <v>250517</v>
      </c>
      <c r="L343" s="61"/>
      <c r="M343" s="65" t="s">
        <v>590</v>
      </c>
      <c r="N343" s="61"/>
      <c r="O343" s="61"/>
      <c r="P343" s="61"/>
      <c r="Q343" s="61"/>
      <c r="R343" s="61">
        <v>501036</v>
      </c>
      <c r="S343" s="66" t="s">
        <v>783</v>
      </c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 s="61" t="s">
        <v>537</v>
      </c>
      <c r="B344" s="62">
        <v>45902</v>
      </c>
      <c r="C344" s="63" t="s">
        <v>1121</v>
      </c>
      <c r="D344" s="67">
        <v>155543</v>
      </c>
      <c r="E344" s="67"/>
      <c r="F344" s="61" t="str">
        <f t="shared" si="5"/>
        <v>借</v>
      </c>
      <c r="G344" s="64">
        <f>SUM(D$6:E344)</f>
        <v>120539097</v>
      </c>
      <c r="H344" s="61"/>
      <c r="I344" s="61" t="s">
        <v>620</v>
      </c>
      <c r="J344" s="61" t="s">
        <v>114</v>
      </c>
      <c r="K344" s="64">
        <v>155543</v>
      </c>
      <c r="L344" s="61"/>
      <c r="M344" s="65" t="s">
        <v>590</v>
      </c>
      <c r="N344" s="61"/>
      <c r="O344" s="61"/>
      <c r="P344" s="61"/>
      <c r="Q344" s="61"/>
      <c r="R344" s="61">
        <v>501836</v>
      </c>
      <c r="S344" s="66" t="s">
        <v>783</v>
      </c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 s="61" t="s">
        <v>537</v>
      </c>
      <c r="B345" s="62">
        <v>45902</v>
      </c>
      <c r="C345" s="63" t="s">
        <v>1122</v>
      </c>
      <c r="D345" s="67">
        <v>306171</v>
      </c>
      <c r="E345" s="67"/>
      <c r="F345" s="61" t="str">
        <f t="shared" si="5"/>
        <v>借</v>
      </c>
      <c r="G345" s="64">
        <f>SUM(D$6:E345)</f>
        <v>120845268</v>
      </c>
      <c r="H345" s="61" t="s">
        <v>610</v>
      </c>
      <c r="I345" s="61" t="s">
        <v>620</v>
      </c>
      <c r="J345" s="61" t="s">
        <v>114</v>
      </c>
      <c r="K345" s="64">
        <v>306171</v>
      </c>
      <c r="L345" s="61"/>
      <c r="M345" s="65" t="s">
        <v>590</v>
      </c>
      <c r="N345" s="61"/>
      <c r="O345" s="61"/>
      <c r="P345" s="61"/>
      <c r="Q345" s="61"/>
      <c r="R345" s="61">
        <v>501836</v>
      </c>
      <c r="S345" s="66" t="s">
        <v>783</v>
      </c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 s="61" t="s">
        <v>537</v>
      </c>
      <c r="B346" s="62">
        <v>45903</v>
      </c>
      <c r="C346" s="63" t="s">
        <v>1124</v>
      </c>
      <c r="D346" s="67"/>
      <c r="E346" s="67">
        <v>-517368</v>
      </c>
      <c r="F346" s="61" t="str">
        <f t="shared" si="5"/>
        <v>借</v>
      </c>
      <c r="G346" s="64">
        <f>SUM(D$6:E346)</f>
        <v>120327900</v>
      </c>
      <c r="H346" s="61" t="s">
        <v>610</v>
      </c>
      <c r="I346" s="61" t="s">
        <v>625</v>
      </c>
      <c r="J346" s="61" t="s">
        <v>114</v>
      </c>
      <c r="K346" s="64">
        <v>-517368</v>
      </c>
      <c r="L346" s="61"/>
      <c r="M346" s="65" t="s">
        <v>590</v>
      </c>
      <c r="N346" s="61"/>
      <c r="O346" s="61"/>
      <c r="P346" s="61"/>
      <c r="Q346" s="61"/>
      <c r="R346" s="61">
        <v>502524</v>
      </c>
      <c r="S346" s="66" t="s">
        <v>783</v>
      </c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 s="61" t="s">
        <v>537</v>
      </c>
      <c r="B347" s="62">
        <v>45903</v>
      </c>
      <c r="C347" s="63" t="s">
        <v>1123</v>
      </c>
      <c r="D347" s="67">
        <v>78137</v>
      </c>
      <c r="E347" s="67"/>
      <c r="F347" s="61" t="str">
        <f t="shared" si="5"/>
        <v>借</v>
      </c>
      <c r="G347" s="64">
        <f>SUM(D$6:E347)</f>
        <v>120406037</v>
      </c>
      <c r="H347" s="61"/>
      <c r="I347" s="61" t="s">
        <v>620</v>
      </c>
      <c r="J347" s="61" t="s">
        <v>114</v>
      </c>
      <c r="K347" s="64">
        <v>78137</v>
      </c>
      <c r="L347" s="61"/>
      <c r="M347" s="65" t="s">
        <v>590</v>
      </c>
      <c r="N347" s="61"/>
      <c r="O347" s="61"/>
      <c r="P347" s="61"/>
      <c r="Q347" s="61"/>
      <c r="R347" s="61">
        <v>502524</v>
      </c>
      <c r="S347" s="66" t="s">
        <v>783</v>
      </c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 s="61" t="s">
        <v>537</v>
      </c>
      <c r="B348" s="62">
        <v>45904</v>
      </c>
      <c r="C348" s="63" t="s">
        <v>1125</v>
      </c>
      <c r="D348" s="67"/>
      <c r="E348" s="67">
        <v>-104552</v>
      </c>
      <c r="F348" s="61" t="str">
        <f t="shared" si="5"/>
        <v>借</v>
      </c>
      <c r="G348" s="64">
        <f>SUM(D$6:E348)</f>
        <v>120301485</v>
      </c>
      <c r="H348" s="61" t="s">
        <v>610</v>
      </c>
      <c r="I348" s="61" t="s">
        <v>625</v>
      </c>
      <c r="J348" s="61" t="s">
        <v>114</v>
      </c>
      <c r="K348" s="64">
        <v>-104552</v>
      </c>
      <c r="L348" s="61"/>
      <c r="M348" s="65" t="s">
        <v>590</v>
      </c>
      <c r="N348" s="61"/>
      <c r="O348" s="61"/>
      <c r="P348" s="61"/>
      <c r="Q348" s="61"/>
      <c r="R348" s="61">
        <v>502629</v>
      </c>
      <c r="S348" s="66" t="s">
        <v>783</v>
      </c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 s="61" t="s">
        <v>537</v>
      </c>
      <c r="B349" s="62">
        <v>45904</v>
      </c>
      <c r="C349" s="63" t="s">
        <v>1126</v>
      </c>
      <c r="D349" s="67">
        <v>78137</v>
      </c>
      <c r="E349" s="67"/>
      <c r="F349" s="61" t="str">
        <f t="shared" si="5"/>
        <v>借</v>
      </c>
      <c r="G349" s="64">
        <f>SUM(D$6:E349)</f>
        <v>120379622</v>
      </c>
      <c r="H349" s="61" t="s">
        <v>606</v>
      </c>
      <c r="I349" s="61" t="s">
        <v>620</v>
      </c>
      <c r="J349" s="61" t="s">
        <v>114</v>
      </c>
      <c r="K349" s="64">
        <v>78137</v>
      </c>
      <c r="L349" s="61"/>
      <c r="M349" s="65" t="s">
        <v>590</v>
      </c>
      <c r="N349" s="61"/>
      <c r="O349" s="61"/>
      <c r="P349" s="61"/>
      <c r="Q349" s="61"/>
      <c r="R349" s="61">
        <v>502629</v>
      </c>
      <c r="S349" s="66" t="s">
        <v>783</v>
      </c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 s="61" t="s">
        <v>537</v>
      </c>
      <c r="B350" s="62">
        <v>45908</v>
      </c>
      <c r="C350" s="63" t="s">
        <v>1127</v>
      </c>
      <c r="D350" s="67"/>
      <c r="E350" s="67">
        <v>-203967</v>
      </c>
      <c r="F350" s="61" t="str">
        <f t="shared" si="5"/>
        <v>借</v>
      </c>
      <c r="G350" s="64">
        <f>SUM(D$6:E350)</f>
        <v>120175655</v>
      </c>
      <c r="H350" s="61" t="s">
        <v>606</v>
      </c>
      <c r="I350" s="61" t="s">
        <v>625</v>
      </c>
      <c r="J350" s="61" t="s">
        <v>114</v>
      </c>
      <c r="K350" s="64">
        <v>-203967</v>
      </c>
      <c r="L350" s="61"/>
      <c r="M350" s="65" t="s">
        <v>590</v>
      </c>
      <c r="N350" s="61"/>
      <c r="O350" s="61"/>
      <c r="P350" s="61"/>
      <c r="Q350" s="61"/>
      <c r="R350" s="61">
        <v>503119</v>
      </c>
      <c r="S350" s="66" t="s">
        <v>783</v>
      </c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 s="61" t="s">
        <v>537</v>
      </c>
      <c r="B351" s="62">
        <v>45909</v>
      </c>
      <c r="C351" s="63" t="s">
        <v>1128</v>
      </c>
      <c r="D351" s="67">
        <v>116323</v>
      </c>
      <c r="E351" s="67"/>
      <c r="F351" s="61" t="str">
        <f t="shared" si="5"/>
        <v>借</v>
      </c>
      <c r="G351" s="64">
        <f>SUM(D$6:E351)</f>
        <v>120291978</v>
      </c>
      <c r="H351" s="61" t="s">
        <v>610</v>
      </c>
      <c r="I351" s="61" t="s">
        <v>620</v>
      </c>
      <c r="J351" s="61" t="s">
        <v>114</v>
      </c>
      <c r="K351" s="64">
        <v>116323</v>
      </c>
      <c r="L351" s="61"/>
      <c r="M351" s="65" t="s">
        <v>590</v>
      </c>
      <c r="N351" s="61"/>
      <c r="O351" s="61"/>
      <c r="P351" s="61"/>
      <c r="Q351" s="61"/>
      <c r="R351" s="61">
        <v>503260</v>
      </c>
      <c r="S351" s="66" t="s">
        <v>783</v>
      </c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 s="61" t="s">
        <v>537</v>
      </c>
      <c r="B352" s="62">
        <v>45910</v>
      </c>
      <c r="C352" s="63" t="s">
        <v>1129</v>
      </c>
      <c r="D352" s="67"/>
      <c r="E352" s="67">
        <v>-461487</v>
      </c>
      <c r="F352" s="61" t="str">
        <f t="shared" si="5"/>
        <v>借</v>
      </c>
      <c r="G352" s="64">
        <f>SUM(D$6:E352)</f>
        <v>119830491</v>
      </c>
      <c r="H352" s="61" t="s">
        <v>610</v>
      </c>
      <c r="I352" s="61" t="s">
        <v>625</v>
      </c>
      <c r="J352" s="61" t="s">
        <v>114</v>
      </c>
      <c r="K352" s="64">
        <v>-461487</v>
      </c>
      <c r="L352" s="61"/>
      <c r="M352" s="65" t="s">
        <v>590</v>
      </c>
      <c r="N352" s="61"/>
      <c r="O352" s="61"/>
      <c r="P352" s="61"/>
      <c r="Q352" s="61"/>
      <c r="R352" s="61">
        <v>503507</v>
      </c>
      <c r="S352" s="66" t="s">
        <v>783</v>
      </c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 s="61" t="s">
        <v>537</v>
      </c>
      <c r="B353" s="62">
        <v>45911</v>
      </c>
      <c r="C353" s="63" t="s">
        <v>1130</v>
      </c>
      <c r="D353" s="67">
        <v>136312</v>
      </c>
      <c r="E353" s="67"/>
      <c r="F353" s="61" t="str">
        <f t="shared" si="5"/>
        <v>借</v>
      </c>
      <c r="G353" s="64">
        <f>SUM(D$6:E353)</f>
        <v>119966803</v>
      </c>
      <c r="H353" s="61" t="s">
        <v>606</v>
      </c>
      <c r="I353" s="61" t="s">
        <v>620</v>
      </c>
      <c r="J353" s="61" t="s">
        <v>114</v>
      </c>
      <c r="K353" s="64">
        <v>136312</v>
      </c>
      <c r="L353" s="61"/>
      <c r="M353" s="65" t="s">
        <v>590</v>
      </c>
      <c r="N353" s="61"/>
      <c r="O353" s="61"/>
      <c r="P353" s="61"/>
      <c r="Q353" s="61"/>
      <c r="R353" s="61">
        <v>503709</v>
      </c>
      <c r="S353" s="66" t="s">
        <v>783</v>
      </c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 s="61" t="s">
        <v>537</v>
      </c>
      <c r="B354" s="62">
        <v>45911</v>
      </c>
      <c r="C354" s="63" t="s">
        <v>1131</v>
      </c>
      <c r="D354" s="67">
        <v>482408</v>
      </c>
      <c r="E354" s="67"/>
      <c r="F354" s="61" t="str">
        <f t="shared" si="5"/>
        <v>借</v>
      </c>
      <c r="G354" s="64">
        <f>SUM(D$6:E354)</f>
        <v>120449211</v>
      </c>
      <c r="H354" s="61" t="s">
        <v>610</v>
      </c>
      <c r="I354" s="61" t="s">
        <v>620</v>
      </c>
      <c r="J354" s="61" t="s">
        <v>114</v>
      </c>
      <c r="K354" s="64">
        <v>482408</v>
      </c>
      <c r="L354" s="61"/>
      <c r="M354" s="65" t="s">
        <v>590</v>
      </c>
      <c r="N354" s="61"/>
      <c r="O354" s="61"/>
      <c r="P354" s="61"/>
      <c r="Q354" s="61"/>
      <c r="R354" s="61">
        <v>503709</v>
      </c>
      <c r="S354" s="66" t="s">
        <v>783</v>
      </c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 s="61" t="s">
        <v>537</v>
      </c>
      <c r="B355" s="62">
        <v>45912</v>
      </c>
      <c r="C355" s="63" t="s">
        <v>1133</v>
      </c>
      <c r="D355" s="67"/>
      <c r="E355" s="67">
        <v>-522964</v>
      </c>
      <c r="F355" s="61" t="str">
        <f t="shared" si="5"/>
        <v>借</v>
      </c>
      <c r="G355" s="64">
        <f>SUM(D$6:E355)</f>
        <v>119926247</v>
      </c>
      <c r="H355" s="61" t="s">
        <v>610</v>
      </c>
      <c r="I355" s="61" t="s">
        <v>625</v>
      </c>
      <c r="J355" s="61" t="s">
        <v>114</v>
      </c>
      <c r="K355" s="64">
        <v>-522964</v>
      </c>
      <c r="L355" s="61"/>
      <c r="M355" s="65" t="s">
        <v>590</v>
      </c>
      <c r="N355" s="61"/>
      <c r="O355" s="61"/>
      <c r="P355" s="61"/>
      <c r="Q355" s="61"/>
      <c r="R355" s="61">
        <v>503967</v>
      </c>
      <c r="S355" s="66" t="s">
        <v>783</v>
      </c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 s="61" t="s">
        <v>537</v>
      </c>
      <c r="B356" s="62">
        <v>45915</v>
      </c>
      <c r="C356" s="63" t="s">
        <v>1135</v>
      </c>
      <c r="D356" s="67">
        <v>64230</v>
      </c>
      <c r="E356" s="67"/>
      <c r="F356" s="61" t="str">
        <f t="shared" si="5"/>
        <v>借</v>
      </c>
      <c r="G356" s="64">
        <f>SUM(D$6:E356)</f>
        <v>119990477</v>
      </c>
      <c r="H356" s="61" t="s">
        <v>610</v>
      </c>
      <c r="I356" s="61" t="s">
        <v>620</v>
      </c>
      <c r="J356" s="61" t="s">
        <v>114</v>
      </c>
      <c r="K356" s="64">
        <v>64230</v>
      </c>
      <c r="L356" s="61"/>
      <c r="M356" s="65" t="s">
        <v>590</v>
      </c>
      <c r="N356" s="61"/>
      <c r="O356" s="61"/>
      <c r="P356" s="61"/>
      <c r="Q356" s="61"/>
      <c r="R356" s="61">
        <v>504093</v>
      </c>
      <c r="S356" s="66" t="s">
        <v>783</v>
      </c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 s="61" t="s">
        <v>537</v>
      </c>
      <c r="B357" s="62">
        <v>45915</v>
      </c>
      <c r="C357" s="63" t="s">
        <v>1134</v>
      </c>
      <c r="D357" s="67">
        <v>253106</v>
      </c>
      <c r="E357" s="67"/>
      <c r="F357" s="61" t="str">
        <f t="shared" si="5"/>
        <v>借</v>
      </c>
      <c r="G357" s="64">
        <f>SUM(D$6:E357)</f>
        <v>120243583</v>
      </c>
      <c r="H357" s="61" t="s">
        <v>606</v>
      </c>
      <c r="I357" s="61" t="s">
        <v>620</v>
      </c>
      <c r="J357" s="61" t="s">
        <v>114</v>
      </c>
      <c r="K357" s="64">
        <v>253106</v>
      </c>
      <c r="L357" s="61"/>
      <c r="M357" s="65" t="s">
        <v>590</v>
      </c>
      <c r="N357" s="61"/>
      <c r="O357" s="61"/>
      <c r="P357" s="61"/>
      <c r="Q357" s="61"/>
      <c r="R357" s="61">
        <v>504093</v>
      </c>
      <c r="S357" s="66" t="s">
        <v>783</v>
      </c>
    </row>
    <row r="358" spans="1:44">
      <c r="A358" s="61" t="s">
        <v>537</v>
      </c>
      <c r="B358" s="62">
        <v>45916</v>
      </c>
      <c r="C358" s="63" t="s">
        <v>1137</v>
      </c>
      <c r="D358" s="67"/>
      <c r="E358" s="67">
        <v>-446136</v>
      </c>
      <c r="F358" s="61" t="str">
        <f t="shared" si="5"/>
        <v>借</v>
      </c>
      <c r="G358" s="64">
        <f>SUM(D$6:E358)</f>
        <v>119797447</v>
      </c>
      <c r="H358" s="61" t="s">
        <v>610</v>
      </c>
      <c r="I358" s="61" t="s">
        <v>625</v>
      </c>
      <c r="J358" s="61" t="s">
        <v>114</v>
      </c>
      <c r="K358" s="64">
        <v>-446136</v>
      </c>
      <c r="L358" s="61"/>
      <c r="M358" s="65" t="s">
        <v>590</v>
      </c>
      <c r="N358" s="61"/>
      <c r="O358" s="61"/>
      <c r="P358" s="61"/>
      <c r="Q358" s="61"/>
      <c r="R358" s="61">
        <v>504343</v>
      </c>
      <c r="S358" s="66" t="s">
        <v>783</v>
      </c>
    </row>
    <row r="359" spans="1:44">
      <c r="A359" s="61" t="s">
        <v>537</v>
      </c>
      <c r="B359" s="62">
        <v>45916</v>
      </c>
      <c r="C359" s="63" t="s">
        <v>1136</v>
      </c>
      <c r="D359" s="67">
        <v>801532</v>
      </c>
      <c r="E359" s="67"/>
      <c r="F359" s="61" t="str">
        <f t="shared" si="5"/>
        <v>借</v>
      </c>
      <c r="G359" s="64">
        <f>SUM(D$6:E359)</f>
        <v>120598979</v>
      </c>
      <c r="H359" s="61" t="s">
        <v>606</v>
      </c>
      <c r="I359" s="61" t="s">
        <v>620</v>
      </c>
      <c r="J359" s="61" t="s">
        <v>114</v>
      </c>
      <c r="K359" s="64">
        <v>801532</v>
      </c>
      <c r="L359" s="61"/>
      <c r="M359" s="65" t="s">
        <v>590</v>
      </c>
      <c r="N359" s="61"/>
      <c r="O359" s="61"/>
      <c r="P359" s="61"/>
      <c r="Q359" s="61"/>
      <c r="R359" s="61">
        <v>504343</v>
      </c>
      <c r="S359" s="66" t="s">
        <v>783</v>
      </c>
    </row>
    <row r="360" spans="1:44">
      <c r="A360" s="61" t="s">
        <v>537</v>
      </c>
      <c r="B360" s="62">
        <v>45918</v>
      </c>
      <c r="C360" s="63" t="s">
        <v>1138</v>
      </c>
      <c r="D360" s="67"/>
      <c r="E360" s="67">
        <v>-1211</v>
      </c>
      <c r="F360" s="61" t="str">
        <f t="shared" si="5"/>
        <v>借</v>
      </c>
      <c r="G360" s="64">
        <f>SUM(D$6:E360)</f>
        <v>120597768</v>
      </c>
      <c r="H360" s="61" t="s">
        <v>606</v>
      </c>
      <c r="I360" s="61" t="s">
        <v>625</v>
      </c>
      <c r="J360" s="61" t="s">
        <v>114</v>
      </c>
      <c r="K360" s="64">
        <v>-1211</v>
      </c>
      <c r="L360" s="61"/>
      <c r="M360" s="65" t="s">
        <v>590</v>
      </c>
      <c r="N360" s="61"/>
      <c r="O360" s="61"/>
      <c r="P360" s="61"/>
      <c r="Q360" s="61"/>
      <c r="R360" s="61">
        <v>504757</v>
      </c>
      <c r="S360" s="66" t="s">
        <v>783</v>
      </c>
    </row>
    <row r="361" spans="1:44">
      <c r="A361" s="61" t="s">
        <v>537</v>
      </c>
      <c r="B361" s="62">
        <v>45918</v>
      </c>
      <c r="C361" s="63" t="s">
        <v>1139</v>
      </c>
      <c r="D361" s="67">
        <v>185966</v>
      </c>
      <c r="E361" s="67"/>
      <c r="F361" s="61" t="str">
        <f t="shared" si="5"/>
        <v>借</v>
      </c>
      <c r="G361" s="64">
        <f>SUM(D$6:E361)</f>
        <v>120783734</v>
      </c>
      <c r="H361" s="61" t="s">
        <v>610</v>
      </c>
      <c r="I361" s="61" t="s">
        <v>620</v>
      </c>
      <c r="J361" s="61" t="s">
        <v>114</v>
      </c>
      <c r="K361" s="64">
        <v>185966</v>
      </c>
      <c r="L361" s="61"/>
      <c r="M361" s="65" t="s">
        <v>590</v>
      </c>
      <c r="N361" s="61"/>
      <c r="O361" s="61"/>
      <c r="P361" s="61"/>
      <c r="Q361" s="61"/>
      <c r="R361" s="61">
        <v>504757</v>
      </c>
      <c r="S361" s="66" t="s">
        <v>783</v>
      </c>
    </row>
    <row r="362" spans="1:44">
      <c r="A362" s="61" t="s">
        <v>537</v>
      </c>
      <c r="B362" s="62">
        <v>45919</v>
      </c>
      <c r="C362" s="63" t="s">
        <v>1141</v>
      </c>
      <c r="D362" s="67"/>
      <c r="E362" s="67">
        <v>-45306</v>
      </c>
      <c r="F362" s="61" t="str">
        <f t="shared" si="5"/>
        <v>借</v>
      </c>
      <c r="G362" s="64">
        <f>SUM(D$6:E362)</f>
        <v>120738428</v>
      </c>
      <c r="H362" s="61" t="s">
        <v>610</v>
      </c>
      <c r="I362" s="61" t="s">
        <v>625</v>
      </c>
      <c r="J362" s="61" t="s">
        <v>114</v>
      </c>
      <c r="K362" s="64">
        <v>-45306</v>
      </c>
      <c r="L362" s="61"/>
      <c r="M362" s="65" t="s">
        <v>590</v>
      </c>
      <c r="N362" s="61"/>
      <c r="O362" s="61"/>
      <c r="P362" s="61"/>
      <c r="Q362" s="61"/>
      <c r="R362" s="61">
        <v>505154</v>
      </c>
      <c r="S362" s="66" t="s">
        <v>825</v>
      </c>
    </row>
    <row r="363" spans="1:44">
      <c r="A363" s="61" t="s">
        <v>537</v>
      </c>
      <c r="B363" s="62">
        <v>45919</v>
      </c>
      <c r="C363" s="63" t="s">
        <v>1140</v>
      </c>
      <c r="D363" s="67">
        <v>91747</v>
      </c>
      <c r="E363" s="67"/>
      <c r="F363" s="61" t="str">
        <f t="shared" si="5"/>
        <v>借</v>
      </c>
      <c r="G363" s="64">
        <f>SUM(D$6:E363)</f>
        <v>120830175</v>
      </c>
      <c r="H363" s="61" t="s">
        <v>606</v>
      </c>
      <c r="I363" s="61" t="s">
        <v>620</v>
      </c>
      <c r="J363" s="61" t="s">
        <v>114</v>
      </c>
      <c r="K363" s="64">
        <v>91747</v>
      </c>
      <c r="L363" s="61"/>
      <c r="M363" s="65" t="s">
        <v>590</v>
      </c>
      <c r="N363" s="61"/>
      <c r="O363" s="61"/>
      <c r="P363" s="61"/>
      <c r="Q363" s="61"/>
      <c r="R363" s="61">
        <v>505154</v>
      </c>
      <c r="S363" s="66" t="s">
        <v>825</v>
      </c>
    </row>
    <row r="364" spans="1:44">
      <c r="A364" s="61" t="s">
        <v>537</v>
      </c>
      <c r="B364" s="62">
        <v>45922</v>
      </c>
      <c r="C364" s="63" t="s">
        <v>1143</v>
      </c>
      <c r="D364" s="67"/>
      <c r="E364" s="67">
        <v>-172901</v>
      </c>
      <c r="F364" s="61" t="str">
        <f t="shared" si="5"/>
        <v>借</v>
      </c>
      <c r="G364" s="64">
        <f>SUM(D$6:E364)</f>
        <v>120657274</v>
      </c>
      <c r="H364" s="61" t="s">
        <v>610</v>
      </c>
      <c r="I364" s="61" t="s">
        <v>625</v>
      </c>
      <c r="J364" s="61" t="s">
        <v>114</v>
      </c>
      <c r="K364" s="64">
        <v>-172901</v>
      </c>
      <c r="L364" s="61"/>
      <c r="M364" s="65" t="s">
        <v>590</v>
      </c>
      <c r="N364" s="61"/>
      <c r="O364" s="61"/>
      <c r="P364" s="61"/>
      <c r="Q364" s="61"/>
      <c r="R364" s="61">
        <v>505727</v>
      </c>
      <c r="S364" s="66" t="s">
        <v>825</v>
      </c>
    </row>
    <row r="365" spans="1:44">
      <c r="A365" s="61" t="s">
        <v>537</v>
      </c>
      <c r="B365" s="62">
        <v>45922</v>
      </c>
      <c r="C365" s="63" t="s">
        <v>1142</v>
      </c>
      <c r="D365" s="67"/>
      <c r="E365" s="67">
        <v>-39496</v>
      </c>
      <c r="F365" s="61" t="str">
        <f t="shared" si="5"/>
        <v>借</v>
      </c>
      <c r="G365" s="64">
        <f>SUM(D$6:E365)</f>
        <v>120617778</v>
      </c>
      <c r="H365" s="61" t="s">
        <v>606</v>
      </c>
      <c r="I365" s="61" t="s">
        <v>625</v>
      </c>
      <c r="J365" s="61" t="s">
        <v>114</v>
      </c>
      <c r="K365" s="64">
        <v>-39496</v>
      </c>
      <c r="L365" s="61"/>
      <c r="M365" s="65" t="s">
        <v>590</v>
      </c>
      <c r="N365" s="61"/>
      <c r="O365" s="61"/>
      <c r="P365" s="61"/>
      <c r="Q365" s="61"/>
      <c r="R365" s="61">
        <v>505727</v>
      </c>
      <c r="S365" s="66" t="s">
        <v>825</v>
      </c>
    </row>
    <row r="366" spans="1:44">
      <c r="A366" s="61" t="s">
        <v>537</v>
      </c>
      <c r="B366" s="62">
        <v>45923</v>
      </c>
      <c r="C366" s="63" t="s">
        <v>1144</v>
      </c>
      <c r="D366" s="67"/>
      <c r="E366" s="67">
        <v>-342542</v>
      </c>
      <c r="F366" s="61" t="str">
        <f t="shared" si="5"/>
        <v>借</v>
      </c>
      <c r="G366" s="64">
        <f>SUM(D$6:E366)</f>
        <v>120275236</v>
      </c>
      <c r="H366" s="61" t="s">
        <v>606</v>
      </c>
      <c r="I366" s="61" t="s">
        <v>625</v>
      </c>
      <c r="J366" s="61" t="s">
        <v>114</v>
      </c>
      <c r="K366" s="64">
        <v>-342542</v>
      </c>
      <c r="L366" s="61"/>
      <c r="M366" s="65" t="s">
        <v>590</v>
      </c>
      <c r="N366" s="61"/>
      <c r="O366" s="61"/>
      <c r="P366" s="61"/>
      <c r="Q366" s="61"/>
      <c r="R366" s="61">
        <v>506051</v>
      </c>
      <c r="S366" s="66" t="s">
        <v>825</v>
      </c>
    </row>
    <row r="367" spans="1:44">
      <c r="A367" s="61" t="s">
        <v>537</v>
      </c>
      <c r="B367" s="62">
        <v>45923</v>
      </c>
      <c r="C367" s="63" t="s">
        <v>1145</v>
      </c>
      <c r="D367" s="67"/>
      <c r="E367" s="67">
        <v>-1563</v>
      </c>
      <c r="F367" s="61" t="str">
        <f t="shared" si="5"/>
        <v>借</v>
      </c>
      <c r="G367" s="64">
        <f>SUM(D$6:E367)</f>
        <v>120273673</v>
      </c>
      <c r="H367" s="61" t="s">
        <v>610</v>
      </c>
      <c r="I367" s="61" t="s">
        <v>625</v>
      </c>
      <c r="J367" s="61" t="s">
        <v>114</v>
      </c>
      <c r="K367" s="64">
        <v>-1563</v>
      </c>
      <c r="L367" s="61"/>
      <c r="M367" s="65" t="s">
        <v>590</v>
      </c>
      <c r="N367" s="61"/>
      <c r="O367" s="61"/>
      <c r="P367" s="61"/>
      <c r="Q367" s="61"/>
      <c r="R367" s="61">
        <v>506051</v>
      </c>
      <c r="S367" s="66" t="s">
        <v>825</v>
      </c>
    </row>
    <row r="368" spans="1:44">
      <c r="A368" s="61" t="s">
        <v>537</v>
      </c>
      <c r="B368" s="62">
        <v>45924</v>
      </c>
      <c r="C368" s="63" t="s">
        <v>1154</v>
      </c>
      <c r="D368" s="67"/>
      <c r="E368" s="67">
        <v>-82926</v>
      </c>
      <c r="F368" s="61" t="str">
        <f t="shared" si="5"/>
        <v>借</v>
      </c>
      <c r="G368" s="64">
        <f>SUM(D$6:E368)</f>
        <v>120190747</v>
      </c>
      <c r="H368" s="61" t="s">
        <v>610</v>
      </c>
      <c r="I368" s="61" t="s">
        <v>625</v>
      </c>
      <c r="J368" s="61" t="s">
        <v>114</v>
      </c>
      <c r="K368" s="64">
        <v>-82926</v>
      </c>
      <c r="L368" s="61"/>
      <c r="M368" s="65" t="s">
        <v>590</v>
      </c>
      <c r="N368" s="61"/>
      <c r="O368" s="61"/>
      <c r="P368" s="61"/>
      <c r="Q368" s="61"/>
      <c r="R368" s="61">
        <v>506417</v>
      </c>
      <c r="S368" s="66" t="s">
        <v>825</v>
      </c>
    </row>
    <row r="369" spans="1:19">
      <c r="A369" s="61" t="s">
        <v>537</v>
      </c>
      <c r="B369" s="62">
        <v>45924</v>
      </c>
      <c r="C369" s="63" t="s">
        <v>1155</v>
      </c>
      <c r="D369" s="67">
        <v>141150</v>
      </c>
      <c r="E369" s="67"/>
      <c r="F369" s="61" t="str">
        <f t="shared" si="5"/>
        <v>借</v>
      </c>
      <c r="G369" s="64">
        <f>SUM(D$6:E369)</f>
        <v>120331897</v>
      </c>
      <c r="H369" s="61" t="s">
        <v>606</v>
      </c>
      <c r="I369" s="61" t="s">
        <v>620</v>
      </c>
      <c r="J369" s="61" t="s">
        <v>114</v>
      </c>
      <c r="K369" s="64">
        <v>141150</v>
      </c>
      <c r="L369" s="61"/>
      <c r="M369" s="65" t="s">
        <v>590</v>
      </c>
      <c r="N369" s="61"/>
      <c r="O369" s="61"/>
      <c r="P369" s="61"/>
      <c r="Q369" s="61"/>
      <c r="R369" s="61">
        <v>506417</v>
      </c>
      <c r="S369" s="66" t="s">
        <v>825</v>
      </c>
    </row>
    <row r="370" spans="1:19">
      <c r="A370" s="61" t="s">
        <v>537</v>
      </c>
      <c r="B370" s="62">
        <v>45925</v>
      </c>
      <c r="C370" s="63" t="s">
        <v>1156</v>
      </c>
      <c r="D370" s="67"/>
      <c r="E370" s="67">
        <v>-53525</v>
      </c>
      <c r="F370" s="61" t="str">
        <f t="shared" si="5"/>
        <v>借</v>
      </c>
      <c r="G370" s="64">
        <f>SUM(D$6:E370)</f>
        <v>120278372</v>
      </c>
      <c r="H370" s="61" t="s">
        <v>606</v>
      </c>
      <c r="I370" s="61" t="s">
        <v>625</v>
      </c>
      <c r="J370" s="61" t="s">
        <v>114</v>
      </c>
      <c r="K370" s="64">
        <v>-53525</v>
      </c>
      <c r="L370" s="61"/>
      <c r="M370" s="65" t="s">
        <v>590</v>
      </c>
      <c r="N370" s="61"/>
      <c r="O370" s="61"/>
      <c r="P370" s="61"/>
      <c r="Q370" s="61"/>
      <c r="R370" s="61">
        <v>506698</v>
      </c>
      <c r="S370" s="66" t="s">
        <v>825</v>
      </c>
    </row>
    <row r="371" spans="1:19">
      <c r="A371" s="61" t="s">
        <v>537</v>
      </c>
      <c r="B371" s="62">
        <v>45930</v>
      </c>
      <c r="C371" s="63" t="s">
        <v>1157</v>
      </c>
      <c r="D371" s="67"/>
      <c r="E371" s="67">
        <v>-595075</v>
      </c>
      <c r="F371" s="61" t="str">
        <f t="shared" si="5"/>
        <v>借</v>
      </c>
      <c r="G371" s="64">
        <f>SUM(D$6:E371)</f>
        <v>119683297</v>
      </c>
      <c r="H371" s="61" t="s">
        <v>606</v>
      </c>
      <c r="I371" s="61" t="s">
        <v>625</v>
      </c>
      <c r="J371" s="61" t="s">
        <v>114</v>
      </c>
      <c r="K371" s="64">
        <v>-595075</v>
      </c>
      <c r="L371" s="61"/>
      <c r="M371" s="65" t="s">
        <v>590</v>
      </c>
      <c r="N371" s="61"/>
      <c r="O371" s="61"/>
      <c r="P371" s="61"/>
      <c r="Q371" s="61"/>
      <c r="R371" s="61">
        <v>507415</v>
      </c>
      <c r="S371" s="66" t="s">
        <v>825</v>
      </c>
    </row>
    <row r="372" spans="1:19">
      <c r="A372" s="61" t="s">
        <v>537</v>
      </c>
      <c r="B372" s="62">
        <v>45930</v>
      </c>
      <c r="C372" s="63" t="s">
        <v>1158</v>
      </c>
      <c r="D372" s="67"/>
      <c r="E372" s="67">
        <v>-346017</v>
      </c>
      <c r="F372" s="61" t="str">
        <f t="shared" si="5"/>
        <v>借</v>
      </c>
      <c r="G372" s="64">
        <f>SUM(D$6:E372)</f>
        <v>119337280</v>
      </c>
      <c r="H372" s="61" t="s">
        <v>610</v>
      </c>
      <c r="I372" s="61" t="s">
        <v>625</v>
      </c>
      <c r="J372" s="61" t="s">
        <v>114</v>
      </c>
      <c r="K372" s="64">
        <v>-346017</v>
      </c>
      <c r="L372" s="61"/>
      <c r="M372" s="65" t="s">
        <v>590</v>
      </c>
      <c r="N372" s="61"/>
      <c r="O372" s="61"/>
      <c r="P372" s="61"/>
      <c r="Q372" s="61"/>
      <c r="R372" s="61">
        <v>507415</v>
      </c>
      <c r="S372" s="66" t="s">
        <v>825</v>
      </c>
    </row>
    <row r="373" spans="1:19">
      <c r="A373" s="61" t="s">
        <v>537</v>
      </c>
      <c r="B373" s="62">
        <v>45930</v>
      </c>
      <c r="C373" s="63" t="s">
        <v>1164</v>
      </c>
      <c r="D373" s="67"/>
      <c r="E373" s="67">
        <v>-68366</v>
      </c>
      <c r="F373" s="61" t="str">
        <f t="shared" si="5"/>
        <v>借</v>
      </c>
      <c r="G373" s="64">
        <f>SUM(D$6:E373)</f>
        <v>119268914</v>
      </c>
      <c r="H373" s="61" t="s">
        <v>610</v>
      </c>
      <c r="I373" s="61" t="s">
        <v>1163</v>
      </c>
      <c r="J373" s="61" t="s">
        <v>114</v>
      </c>
      <c r="K373" s="64">
        <v>-68366</v>
      </c>
      <c r="L373" s="61"/>
      <c r="M373" s="65" t="s">
        <v>590</v>
      </c>
      <c r="N373" s="61"/>
      <c r="O373" s="61"/>
      <c r="P373" s="61"/>
      <c r="Q373" s="61"/>
      <c r="R373" s="61">
        <v>508832</v>
      </c>
      <c r="S373" s="66" t="s">
        <v>825</v>
      </c>
    </row>
    <row r="374" spans="1:19">
      <c r="A374" s="61" t="s">
        <v>537</v>
      </c>
      <c r="B374" s="62">
        <v>45930</v>
      </c>
      <c r="C374" s="63" t="s">
        <v>1162</v>
      </c>
      <c r="D374" s="67"/>
      <c r="E374" s="67">
        <v>-41267</v>
      </c>
      <c r="F374" s="61" t="str">
        <f t="shared" si="5"/>
        <v>借</v>
      </c>
      <c r="G374" s="64">
        <f>SUM(D$6:E374)</f>
        <v>119227647</v>
      </c>
      <c r="H374" s="61" t="s">
        <v>606</v>
      </c>
      <c r="I374" s="61" t="s">
        <v>1163</v>
      </c>
      <c r="J374" s="61" t="s">
        <v>114</v>
      </c>
      <c r="K374" s="64">
        <v>-41267</v>
      </c>
      <c r="L374" s="61"/>
      <c r="M374" s="65" t="s">
        <v>590</v>
      </c>
      <c r="N374" s="61"/>
      <c r="O374" s="61"/>
      <c r="P374" s="61"/>
      <c r="Q374" s="61"/>
      <c r="R374" s="61">
        <v>508832</v>
      </c>
      <c r="S374" s="66" t="s">
        <v>825</v>
      </c>
    </row>
    <row r="375" spans="1:19">
      <c r="A375" s="61" t="s">
        <v>537</v>
      </c>
      <c r="B375" s="62">
        <v>45930</v>
      </c>
      <c r="C375" s="63" t="s">
        <v>1165</v>
      </c>
      <c r="D375" s="67">
        <v>36713</v>
      </c>
      <c r="E375" s="67"/>
      <c r="F375" s="61" t="str">
        <f t="shared" si="5"/>
        <v>借</v>
      </c>
      <c r="G375" s="64">
        <f>SUM(D$6:E375)</f>
        <v>119264360</v>
      </c>
      <c r="H375" s="61" t="s">
        <v>606</v>
      </c>
      <c r="I375" s="61" t="s">
        <v>1163</v>
      </c>
      <c r="J375" s="61" t="s">
        <v>114</v>
      </c>
      <c r="K375" s="64">
        <v>36713</v>
      </c>
      <c r="L375" s="61"/>
      <c r="M375" s="65" t="s">
        <v>590</v>
      </c>
      <c r="N375" s="61"/>
      <c r="O375" s="61"/>
      <c r="P375" s="61"/>
      <c r="Q375" s="61"/>
      <c r="R375" s="61">
        <v>508832</v>
      </c>
      <c r="S375" s="66" t="s">
        <v>825</v>
      </c>
    </row>
    <row r="376" spans="1:19">
      <c r="A376" s="61" t="s">
        <v>537</v>
      </c>
      <c r="B376" s="62">
        <v>45930</v>
      </c>
      <c r="C376" s="63" t="s">
        <v>1166</v>
      </c>
      <c r="D376" s="67">
        <v>70088</v>
      </c>
      <c r="E376" s="67"/>
      <c r="F376" s="61" t="str">
        <f t="shared" si="5"/>
        <v>借</v>
      </c>
      <c r="G376" s="64">
        <f>SUM(D$6:E376)</f>
        <v>119334448</v>
      </c>
      <c r="H376" s="61" t="s">
        <v>610</v>
      </c>
      <c r="I376" s="61" t="s">
        <v>1163</v>
      </c>
      <c r="J376" s="61" t="s">
        <v>114</v>
      </c>
      <c r="K376" s="64">
        <v>70088</v>
      </c>
      <c r="L376" s="61"/>
      <c r="M376" s="65" t="s">
        <v>590</v>
      </c>
      <c r="N376" s="61"/>
      <c r="O376" s="61"/>
      <c r="P376" s="61"/>
      <c r="Q376" s="61"/>
      <c r="R376" s="61">
        <v>508832</v>
      </c>
      <c r="S376" s="66" t="s">
        <v>825</v>
      </c>
    </row>
    <row r="377" spans="1:19">
      <c r="A377" s="61" t="s">
        <v>537</v>
      </c>
      <c r="B377" s="62">
        <v>45931</v>
      </c>
      <c r="C377" s="63" t="s">
        <v>1167</v>
      </c>
      <c r="D377" s="67"/>
      <c r="E377" s="67">
        <v>-152493</v>
      </c>
      <c r="F377" s="61" t="str">
        <f t="shared" si="5"/>
        <v>借</v>
      </c>
      <c r="G377" s="64">
        <f>SUM(D$6:E377)</f>
        <v>119181955</v>
      </c>
      <c r="H377" s="61" t="s">
        <v>610</v>
      </c>
      <c r="I377" s="61" t="s">
        <v>625</v>
      </c>
      <c r="J377" s="61" t="s">
        <v>114</v>
      </c>
      <c r="K377" s="64">
        <v>-152493</v>
      </c>
      <c r="L377" s="61"/>
      <c r="M377" s="65" t="s">
        <v>590</v>
      </c>
      <c r="N377" s="61"/>
      <c r="O377" s="61"/>
      <c r="P377" s="61"/>
      <c r="Q377" s="61"/>
      <c r="R377" s="61">
        <v>507823</v>
      </c>
      <c r="S377" s="66" t="s">
        <v>825</v>
      </c>
    </row>
    <row r="378" spans="1:19">
      <c r="A378" s="61" t="s">
        <v>537</v>
      </c>
      <c r="B378" s="62">
        <v>45932</v>
      </c>
      <c r="C378" s="63" t="s">
        <v>1168</v>
      </c>
      <c r="D378" s="67"/>
      <c r="E378" s="67">
        <v>-78843</v>
      </c>
      <c r="F378" s="61" t="str">
        <f t="shared" si="5"/>
        <v>借</v>
      </c>
      <c r="G378" s="64">
        <f>SUM(D$6:E378)</f>
        <v>119103112</v>
      </c>
      <c r="H378" s="61" t="s">
        <v>606</v>
      </c>
      <c r="I378" s="61" t="s">
        <v>625</v>
      </c>
      <c r="J378" s="61" t="s">
        <v>114</v>
      </c>
      <c r="K378" s="64">
        <v>-78843</v>
      </c>
      <c r="L378" s="61"/>
      <c r="M378" s="65" t="s">
        <v>590</v>
      </c>
      <c r="N378" s="61"/>
      <c r="O378" s="61"/>
      <c r="P378" s="61"/>
      <c r="Q378" s="61"/>
      <c r="R378" s="61">
        <v>508405</v>
      </c>
      <c r="S378" s="66" t="s">
        <v>825</v>
      </c>
    </row>
    <row r="379" spans="1:19">
      <c r="A379" s="61" t="s">
        <v>537</v>
      </c>
      <c r="B379" s="62">
        <v>45933</v>
      </c>
      <c r="C379" s="63" t="s">
        <v>1169</v>
      </c>
      <c r="D379" s="67"/>
      <c r="E379" s="67">
        <v>-62005</v>
      </c>
      <c r="F379" s="61" t="str">
        <f t="shared" si="5"/>
        <v>借</v>
      </c>
      <c r="G379" s="64">
        <f>SUM(D$6:E379)</f>
        <v>119041107</v>
      </c>
      <c r="H379" s="61" t="s">
        <v>610</v>
      </c>
      <c r="I379" s="61" t="s">
        <v>625</v>
      </c>
      <c r="J379" s="61" t="s">
        <v>114</v>
      </c>
      <c r="K379" s="64">
        <v>-62005</v>
      </c>
      <c r="L379" s="61"/>
      <c r="M379" s="65" t="s">
        <v>590</v>
      </c>
      <c r="N379" s="61"/>
      <c r="O379" s="61"/>
      <c r="P379" s="61"/>
      <c r="Q379" s="61"/>
      <c r="R379" s="61">
        <v>509281</v>
      </c>
      <c r="S379" s="66" t="s">
        <v>825</v>
      </c>
    </row>
    <row r="380" spans="1:19">
      <c r="A380" s="61" t="s">
        <v>537</v>
      </c>
      <c r="B380" s="62">
        <v>45937</v>
      </c>
      <c r="C380" s="63" t="s">
        <v>1170</v>
      </c>
      <c r="D380" s="67">
        <v>342833</v>
      </c>
      <c r="E380" s="67"/>
      <c r="F380" s="61" t="str">
        <f t="shared" si="5"/>
        <v>借</v>
      </c>
      <c r="G380" s="64">
        <f>SUM(D$6:E380)</f>
        <v>119383940</v>
      </c>
      <c r="H380" s="61" t="s">
        <v>606</v>
      </c>
      <c r="I380" s="61" t="s">
        <v>620</v>
      </c>
      <c r="J380" s="61" t="s">
        <v>114</v>
      </c>
      <c r="K380" s="64">
        <v>342833</v>
      </c>
      <c r="L380" s="61"/>
      <c r="M380" s="65" t="s">
        <v>590</v>
      </c>
      <c r="N380" s="61"/>
      <c r="O380" s="61"/>
      <c r="P380" s="61"/>
      <c r="Q380" s="61"/>
      <c r="R380" s="61">
        <v>509509</v>
      </c>
      <c r="S380" s="66" t="s">
        <v>825</v>
      </c>
    </row>
    <row r="381" spans="1:19">
      <c r="A381" s="61" t="s">
        <v>537</v>
      </c>
      <c r="B381" s="62">
        <v>45937</v>
      </c>
      <c r="C381" s="63" t="s">
        <v>1171</v>
      </c>
      <c r="D381" s="67">
        <v>827292</v>
      </c>
      <c r="E381" s="67"/>
      <c r="F381" s="61" t="str">
        <f t="shared" si="5"/>
        <v>借</v>
      </c>
      <c r="G381" s="64">
        <f>SUM(D$6:E381)</f>
        <v>120211232</v>
      </c>
      <c r="H381" s="61" t="s">
        <v>610</v>
      </c>
      <c r="I381" s="61" t="s">
        <v>620</v>
      </c>
      <c r="J381" s="61" t="s">
        <v>114</v>
      </c>
      <c r="K381" s="64">
        <v>827292</v>
      </c>
      <c r="L381" s="61"/>
      <c r="M381" s="65" t="s">
        <v>590</v>
      </c>
      <c r="N381" s="61"/>
      <c r="O381" s="61"/>
      <c r="P381" s="61"/>
      <c r="Q381" s="61"/>
      <c r="R381" s="61">
        <v>509509</v>
      </c>
      <c r="S381" s="66" t="s">
        <v>825</v>
      </c>
    </row>
    <row r="382" spans="1:19">
      <c r="A382" s="61" t="s">
        <v>537</v>
      </c>
      <c r="B382" s="62">
        <v>45938</v>
      </c>
      <c r="C382" s="63" t="s">
        <v>1172</v>
      </c>
      <c r="D382" s="67"/>
      <c r="E382" s="67">
        <v>-507186</v>
      </c>
      <c r="F382" s="61" t="str">
        <f t="shared" si="5"/>
        <v>借</v>
      </c>
      <c r="G382" s="64">
        <f>SUM(D$6:E382)</f>
        <v>119704046</v>
      </c>
      <c r="H382" s="61" t="s">
        <v>610</v>
      </c>
      <c r="I382" s="61" t="s">
        <v>625</v>
      </c>
      <c r="J382" s="61" t="s">
        <v>114</v>
      </c>
      <c r="K382" s="64">
        <v>-507186</v>
      </c>
      <c r="L382" s="61"/>
      <c r="M382" s="65" t="s">
        <v>590</v>
      </c>
      <c r="N382" s="61"/>
      <c r="O382" s="61"/>
      <c r="P382" s="61"/>
      <c r="Q382" s="61"/>
      <c r="R382" s="61">
        <v>509604</v>
      </c>
      <c r="S382" s="66" t="s">
        <v>825</v>
      </c>
    </row>
    <row r="383" spans="1:19">
      <c r="A383" s="61" t="s">
        <v>537</v>
      </c>
      <c r="B383" s="62">
        <v>45939</v>
      </c>
      <c r="C383" s="63" t="s">
        <v>1194</v>
      </c>
      <c r="D383" s="67"/>
      <c r="E383" s="67">
        <v>-4000000</v>
      </c>
      <c r="F383" s="61" t="str">
        <f t="shared" si="5"/>
        <v>借</v>
      </c>
      <c r="G383" s="64">
        <f>SUM(D$6:E383)</f>
        <v>115704046</v>
      </c>
      <c r="H383" s="61"/>
      <c r="I383" s="61" t="s">
        <v>597</v>
      </c>
      <c r="J383" s="61" t="s">
        <v>114</v>
      </c>
      <c r="K383" s="64">
        <v>-4000000</v>
      </c>
      <c r="L383" s="61" t="s">
        <v>549</v>
      </c>
      <c r="M383" s="65" t="s">
        <v>557</v>
      </c>
      <c r="N383" s="61"/>
      <c r="O383" s="61"/>
      <c r="P383" s="61"/>
      <c r="Q383" s="61"/>
      <c r="R383" s="61">
        <v>511372</v>
      </c>
      <c r="S383" s="66" t="s">
        <v>845</v>
      </c>
    </row>
    <row r="384" spans="1:19">
      <c r="A384" s="61" t="s">
        <v>537</v>
      </c>
      <c r="B384" s="62">
        <v>45939</v>
      </c>
      <c r="C384" s="63" t="s">
        <v>1173</v>
      </c>
      <c r="D384" s="67">
        <v>69844</v>
      </c>
      <c r="E384" s="67"/>
      <c r="F384" s="61" t="str">
        <f t="shared" si="5"/>
        <v>借</v>
      </c>
      <c r="G384" s="64">
        <f>SUM(D$6:E384)</f>
        <v>115773890</v>
      </c>
      <c r="H384" s="61" t="s">
        <v>610</v>
      </c>
      <c r="I384" s="61" t="s">
        <v>620</v>
      </c>
      <c r="J384" s="61" t="s">
        <v>114</v>
      </c>
      <c r="K384" s="64">
        <v>69844</v>
      </c>
      <c r="L384" s="61"/>
      <c r="M384" s="65" t="s">
        <v>590</v>
      </c>
      <c r="N384" s="61"/>
      <c r="O384" s="61"/>
      <c r="P384" s="61"/>
      <c r="Q384" s="61"/>
      <c r="R384" s="61">
        <v>509961</v>
      </c>
      <c r="S384" s="66" t="s">
        <v>825</v>
      </c>
    </row>
    <row r="385" spans="1:19">
      <c r="A385" s="61" t="s">
        <v>537</v>
      </c>
      <c r="B385" s="62">
        <v>45943</v>
      </c>
      <c r="C385" s="63" t="s">
        <v>1174</v>
      </c>
      <c r="D385" s="67">
        <v>1034969</v>
      </c>
      <c r="E385" s="67"/>
      <c r="F385" s="61" t="str">
        <f t="shared" si="5"/>
        <v>借</v>
      </c>
      <c r="G385" s="64">
        <f>SUM(D$6:E385)</f>
        <v>116808859</v>
      </c>
      <c r="H385" s="61" t="s">
        <v>610</v>
      </c>
      <c r="I385" s="61" t="s">
        <v>620</v>
      </c>
      <c r="J385" s="61" t="s">
        <v>114</v>
      </c>
      <c r="K385" s="64">
        <v>1034969</v>
      </c>
      <c r="L385" s="61"/>
      <c r="M385" s="65" t="s">
        <v>590</v>
      </c>
      <c r="N385" s="61"/>
      <c r="O385" s="61"/>
      <c r="P385" s="61"/>
      <c r="Q385" s="61"/>
      <c r="R385" s="61">
        <v>509853</v>
      </c>
      <c r="S385" s="66" t="s">
        <v>825</v>
      </c>
    </row>
    <row r="386" spans="1:19">
      <c r="A386" s="61" t="s">
        <v>537</v>
      </c>
      <c r="B386" s="62">
        <v>45944</v>
      </c>
      <c r="C386" s="63" t="s">
        <v>1175</v>
      </c>
      <c r="D386" s="67"/>
      <c r="E386" s="67">
        <v>-137712</v>
      </c>
      <c r="F386" s="61" t="str">
        <f t="shared" si="5"/>
        <v>借</v>
      </c>
      <c r="G386" s="64">
        <f>SUM(D$6:E386)</f>
        <v>116671147</v>
      </c>
      <c r="H386" s="61" t="s">
        <v>610</v>
      </c>
      <c r="I386" s="61" t="s">
        <v>625</v>
      </c>
      <c r="J386" s="61" t="s">
        <v>114</v>
      </c>
      <c r="K386" s="64">
        <v>-137712</v>
      </c>
      <c r="L386" s="61"/>
      <c r="M386" s="65" t="s">
        <v>590</v>
      </c>
      <c r="N386" s="61"/>
      <c r="O386" s="61"/>
      <c r="P386" s="61"/>
      <c r="Q386" s="61"/>
      <c r="R386" s="61">
        <v>510049</v>
      </c>
      <c r="S386" s="66" t="s">
        <v>825</v>
      </c>
    </row>
    <row r="387" spans="1:19">
      <c r="A387" s="61" t="s">
        <v>537</v>
      </c>
      <c r="B387" s="62">
        <v>45945</v>
      </c>
      <c r="C387" s="63" t="s">
        <v>1176</v>
      </c>
      <c r="D387" s="67"/>
      <c r="E387" s="67">
        <v>-279157</v>
      </c>
      <c r="F387" s="61" t="str">
        <f t="shared" si="5"/>
        <v>借</v>
      </c>
      <c r="G387" s="64">
        <f>SUM(D$6:E387)</f>
        <v>116391990</v>
      </c>
      <c r="H387" s="61" t="s">
        <v>606</v>
      </c>
      <c r="I387" s="61" t="s">
        <v>625</v>
      </c>
      <c r="J387" s="61" t="s">
        <v>114</v>
      </c>
      <c r="K387" s="64">
        <v>-279157</v>
      </c>
      <c r="L387" s="61"/>
      <c r="M387" s="65" t="s">
        <v>590</v>
      </c>
      <c r="N387" s="61"/>
      <c r="O387" s="61"/>
      <c r="P387" s="61"/>
      <c r="Q387" s="61"/>
      <c r="R387" s="61">
        <v>510252</v>
      </c>
      <c r="S387" s="66" t="s">
        <v>825</v>
      </c>
    </row>
    <row r="388" spans="1:19">
      <c r="A388" s="61" t="s">
        <v>537</v>
      </c>
      <c r="B388" s="62">
        <v>45945</v>
      </c>
      <c r="C388" s="63" t="s">
        <v>1177</v>
      </c>
      <c r="D388" s="67"/>
      <c r="E388" s="67">
        <v>-64433</v>
      </c>
      <c r="F388" s="61" t="str">
        <f t="shared" si="5"/>
        <v>借</v>
      </c>
      <c r="G388" s="64">
        <f>SUM(D$6:E388)</f>
        <v>116327557</v>
      </c>
      <c r="H388" s="61" t="s">
        <v>610</v>
      </c>
      <c r="I388" s="61" t="s">
        <v>625</v>
      </c>
      <c r="J388" s="61" t="s">
        <v>114</v>
      </c>
      <c r="K388" s="64">
        <v>-64433</v>
      </c>
      <c r="L388" s="61"/>
      <c r="M388" s="65" t="s">
        <v>590</v>
      </c>
      <c r="N388" s="61"/>
      <c r="O388" s="61"/>
      <c r="P388" s="61"/>
      <c r="Q388" s="61"/>
      <c r="R388" s="61">
        <v>510252</v>
      </c>
      <c r="S388" s="66" t="s">
        <v>825</v>
      </c>
    </row>
    <row r="389" spans="1:19">
      <c r="A389" s="61" t="s">
        <v>537</v>
      </c>
      <c r="B389" s="62">
        <v>45946</v>
      </c>
      <c r="C389" s="63" t="s">
        <v>1183</v>
      </c>
      <c r="D389" s="67"/>
      <c r="E389" s="67">
        <v>-36634</v>
      </c>
      <c r="F389" s="61" t="str">
        <f t="shared" si="5"/>
        <v>借</v>
      </c>
      <c r="G389" s="64">
        <f>SUM(D$6:E389)</f>
        <v>116290923</v>
      </c>
      <c r="H389" s="61" t="s">
        <v>610</v>
      </c>
      <c r="I389" s="61" t="s">
        <v>625</v>
      </c>
      <c r="J389" s="61" t="s">
        <v>114</v>
      </c>
      <c r="K389" s="64">
        <v>-36634</v>
      </c>
      <c r="L389" s="61"/>
      <c r="M389" s="65" t="s">
        <v>590</v>
      </c>
      <c r="N389" s="61"/>
      <c r="O389" s="61"/>
      <c r="P389" s="61"/>
      <c r="Q389" s="61"/>
      <c r="R389" s="61">
        <v>510584</v>
      </c>
      <c r="S389" s="66" t="s">
        <v>825</v>
      </c>
    </row>
    <row r="390" spans="1:19">
      <c r="A390" s="61" t="s">
        <v>537</v>
      </c>
      <c r="B390" s="62">
        <v>45946</v>
      </c>
      <c r="C390" s="63" t="s">
        <v>1184</v>
      </c>
      <c r="D390" s="67">
        <v>245470</v>
      </c>
      <c r="E390" s="67"/>
      <c r="F390" s="61" t="str">
        <f t="shared" si="5"/>
        <v>借</v>
      </c>
      <c r="G390" s="64">
        <f>SUM(D$6:E390)</f>
        <v>116536393</v>
      </c>
      <c r="H390" s="61" t="s">
        <v>606</v>
      </c>
      <c r="I390" s="61" t="s">
        <v>620</v>
      </c>
      <c r="J390" s="61" t="s">
        <v>114</v>
      </c>
      <c r="K390" s="64">
        <v>245470</v>
      </c>
      <c r="L390" s="61"/>
      <c r="M390" s="65" t="s">
        <v>590</v>
      </c>
      <c r="N390" s="61"/>
      <c r="O390" s="61"/>
      <c r="P390" s="61"/>
      <c r="Q390" s="61"/>
      <c r="R390" s="61">
        <v>510584</v>
      </c>
      <c r="S390" s="66" t="s">
        <v>825</v>
      </c>
    </row>
    <row r="391" spans="1:19">
      <c r="A391" s="61" t="s">
        <v>537</v>
      </c>
      <c r="B391" s="62">
        <v>45947</v>
      </c>
      <c r="C391" s="63" t="s">
        <v>1186</v>
      </c>
      <c r="D391" s="67"/>
      <c r="E391" s="67">
        <v>-7818</v>
      </c>
      <c r="F391" s="61" t="str">
        <f t="shared" ref="F391:F454" si="6">IF(G391&gt;0,"借","貸")</f>
        <v>借</v>
      </c>
      <c r="G391" s="64">
        <f>SUM(D$6:E391)</f>
        <v>116528575</v>
      </c>
      <c r="H391" s="61" t="s">
        <v>610</v>
      </c>
      <c r="I391" s="61" t="s">
        <v>625</v>
      </c>
      <c r="J391" s="61" t="s">
        <v>114</v>
      </c>
      <c r="K391" s="64">
        <v>-7818</v>
      </c>
      <c r="L391" s="61"/>
      <c r="M391" s="65" t="s">
        <v>590</v>
      </c>
      <c r="N391" s="61"/>
      <c r="O391" s="61"/>
      <c r="P391" s="61"/>
      <c r="Q391" s="61"/>
      <c r="R391" s="61">
        <v>510800</v>
      </c>
      <c r="S391" s="66" t="s">
        <v>825</v>
      </c>
    </row>
    <row r="392" spans="1:19">
      <c r="A392" s="61" t="s">
        <v>537</v>
      </c>
      <c r="B392" s="62">
        <v>45947</v>
      </c>
      <c r="C392" s="63" t="s">
        <v>1185</v>
      </c>
      <c r="D392" s="67">
        <v>308338</v>
      </c>
      <c r="E392" s="67"/>
      <c r="F392" s="61" t="str">
        <f t="shared" si="6"/>
        <v>借</v>
      </c>
      <c r="G392" s="64">
        <f>SUM(D$6:E392)</f>
        <v>116836913</v>
      </c>
      <c r="H392" s="61" t="s">
        <v>606</v>
      </c>
      <c r="I392" s="61" t="s">
        <v>620</v>
      </c>
      <c r="J392" s="61" t="s">
        <v>114</v>
      </c>
      <c r="K392" s="64">
        <v>308338</v>
      </c>
      <c r="L392" s="61"/>
      <c r="M392" s="65" t="s">
        <v>590</v>
      </c>
      <c r="N392" s="61"/>
      <c r="O392" s="61"/>
      <c r="P392" s="61"/>
      <c r="Q392" s="61"/>
      <c r="R392" s="61">
        <v>510800</v>
      </c>
      <c r="S392" s="66" t="s">
        <v>825</v>
      </c>
    </row>
    <row r="393" spans="1:19">
      <c r="A393" s="61" t="s">
        <v>537</v>
      </c>
      <c r="B393" s="62">
        <v>45950</v>
      </c>
      <c r="C393" s="63" t="s">
        <v>1188</v>
      </c>
      <c r="D393" s="67">
        <v>722967</v>
      </c>
      <c r="E393" s="67"/>
      <c r="F393" s="61" t="str">
        <f t="shared" si="6"/>
        <v>借</v>
      </c>
      <c r="G393" s="64">
        <f>SUM(D$6:E393)</f>
        <v>117559880</v>
      </c>
      <c r="H393" s="61" t="s">
        <v>610</v>
      </c>
      <c r="I393" s="61" t="s">
        <v>620</v>
      </c>
      <c r="J393" s="61" t="s">
        <v>114</v>
      </c>
      <c r="K393" s="64">
        <v>722967</v>
      </c>
      <c r="L393" s="61"/>
      <c r="M393" s="65" t="s">
        <v>590</v>
      </c>
      <c r="N393" s="61"/>
      <c r="O393" s="61"/>
      <c r="P393" s="61"/>
      <c r="Q393" s="61"/>
      <c r="R393" s="61">
        <v>511006</v>
      </c>
      <c r="S393" s="66" t="s">
        <v>825</v>
      </c>
    </row>
    <row r="394" spans="1:19">
      <c r="A394" s="61" t="s">
        <v>537</v>
      </c>
      <c r="B394" s="62">
        <v>45950</v>
      </c>
      <c r="C394" s="63" t="s">
        <v>1187</v>
      </c>
      <c r="D394" s="67">
        <v>814546</v>
      </c>
      <c r="E394" s="67"/>
      <c r="F394" s="61" t="str">
        <f t="shared" si="6"/>
        <v>借</v>
      </c>
      <c r="G394" s="64">
        <f>SUM(D$6:E394)</f>
        <v>118374426</v>
      </c>
      <c r="H394" s="61" t="s">
        <v>606</v>
      </c>
      <c r="I394" s="61" t="s">
        <v>620</v>
      </c>
      <c r="J394" s="61" t="s">
        <v>114</v>
      </c>
      <c r="K394" s="64">
        <v>814546</v>
      </c>
      <c r="L394" s="61"/>
      <c r="M394" s="65" t="s">
        <v>590</v>
      </c>
      <c r="N394" s="61"/>
      <c r="O394" s="61"/>
      <c r="P394" s="61"/>
      <c r="Q394" s="61"/>
      <c r="R394" s="61">
        <v>511006</v>
      </c>
      <c r="S394" s="66" t="s">
        <v>825</v>
      </c>
    </row>
    <row r="395" spans="1:19">
      <c r="A395" s="61" t="s">
        <v>537</v>
      </c>
      <c r="B395" s="62">
        <v>45951</v>
      </c>
      <c r="C395" s="63" t="s">
        <v>1196</v>
      </c>
      <c r="D395" s="67"/>
      <c r="E395" s="67">
        <v>-36462</v>
      </c>
      <c r="F395" s="61" t="str">
        <f t="shared" si="6"/>
        <v>借</v>
      </c>
      <c r="G395" s="64">
        <f>SUM(D$6:E395)</f>
        <v>118337964</v>
      </c>
      <c r="H395" s="61" t="s">
        <v>606</v>
      </c>
      <c r="I395" s="61" t="s">
        <v>625</v>
      </c>
      <c r="J395" s="61" t="s">
        <v>114</v>
      </c>
      <c r="K395" s="64">
        <v>-36462</v>
      </c>
      <c r="L395" s="61"/>
      <c r="M395" s="65" t="s">
        <v>590</v>
      </c>
      <c r="N395" s="61"/>
      <c r="O395" s="61"/>
      <c r="P395" s="61"/>
      <c r="Q395" s="61"/>
      <c r="R395" s="61">
        <v>511402</v>
      </c>
      <c r="S395" s="66" t="s">
        <v>825</v>
      </c>
    </row>
    <row r="396" spans="1:19">
      <c r="A396" s="61" t="s">
        <v>537</v>
      </c>
      <c r="B396" s="62">
        <v>45951</v>
      </c>
      <c r="C396" s="63" t="s">
        <v>1195</v>
      </c>
      <c r="D396" s="67">
        <v>179135</v>
      </c>
      <c r="E396" s="67"/>
      <c r="F396" s="61" t="str">
        <f t="shared" si="6"/>
        <v>借</v>
      </c>
      <c r="G396" s="64">
        <f>SUM(D$6:E396)</f>
        <v>118517099</v>
      </c>
      <c r="H396" s="61" t="s">
        <v>610</v>
      </c>
      <c r="I396" s="61" t="s">
        <v>620</v>
      </c>
      <c r="J396" s="61" t="s">
        <v>114</v>
      </c>
      <c r="K396" s="64">
        <v>179135</v>
      </c>
      <c r="L396" s="61"/>
      <c r="M396" s="65" t="s">
        <v>590</v>
      </c>
      <c r="N396" s="61"/>
      <c r="O396" s="61"/>
      <c r="P396" s="61"/>
      <c r="Q396" s="61"/>
      <c r="R396" s="61">
        <v>511402</v>
      </c>
      <c r="S396" s="66" t="s">
        <v>825</v>
      </c>
    </row>
    <row r="397" spans="1:19">
      <c r="A397" s="61" t="s">
        <v>537</v>
      </c>
      <c r="B397" s="62">
        <v>45952</v>
      </c>
      <c r="C397" s="63" t="s">
        <v>1198</v>
      </c>
      <c r="D397" s="67">
        <v>90462</v>
      </c>
      <c r="E397" s="67"/>
      <c r="F397" s="61" t="str">
        <f t="shared" si="6"/>
        <v>借</v>
      </c>
      <c r="G397" s="64">
        <f>SUM(D$6:E397)</f>
        <v>118607561</v>
      </c>
      <c r="H397" s="61" t="s">
        <v>610</v>
      </c>
      <c r="I397" s="61" t="s">
        <v>620</v>
      </c>
      <c r="J397" s="61" t="s">
        <v>114</v>
      </c>
      <c r="K397" s="64">
        <v>90462</v>
      </c>
      <c r="L397" s="61"/>
      <c r="M397" s="65" t="s">
        <v>590</v>
      </c>
      <c r="N397" s="61"/>
      <c r="O397" s="61"/>
      <c r="P397" s="61"/>
      <c r="Q397" s="61"/>
      <c r="R397" s="61">
        <v>512194</v>
      </c>
      <c r="S397" s="66" t="s">
        <v>825</v>
      </c>
    </row>
    <row r="398" spans="1:19">
      <c r="A398" s="61" t="s">
        <v>537</v>
      </c>
      <c r="B398" s="62">
        <v>45952</v>
      </c>
      <c r="C398" s="63" t="s">
        <v>1197</v>
      </c>
      <c r="D398" s="67">
        <v>323422</v>
      </c>
      <c r="E398" s="67"/>
      <c r="F398" s="61" t="str">
        <f t="shared" si="6"/>
        <v>借</v>
      </c>
      <c r="G398" s="64">
        <f>SUM(D$6:E398)</f>
        <v>118930983</v>
      </c>
      <c r="H398" s="61" t="s">
        <v>606</v>
      </c>
      <c r="I398" s="61" t="s">
        <v>620</v>
      </c>
      <c r="J398" s="61" t="s">
        <v>114</v>
      </c>
      <c r="K398" s="64">
        <v>323422</v>
      </c>
      <c r="L398" s="61"/>
      <c r="M398" s="65" t="s">
        <v>590</v>
      </c>
      <c r="N398" s="61"/>
      <c r="O398" s="61"/>
      <c r="P398" s="61"/>
      <c r="Q398" s="61"/>
      <c r="R398" s="61">
        <v>512194</v>
      </c>
      <c r="S398" s="66" t="s">
        <v>825</v>
      </c>
    </row>
    <row r="399" spans="1:19">
      <c r="A399" s="61" t="s">
        <v>537</v>
      </c>
      <c r="B399" s="62">
        <v>45953</v>
      </c>
      <c r="C399" s="63" t="s">
        <v>1200</v>
      </c>
      <c r="D399" s="67"/>
      <c r="E399" s="67">
        <v>-28900</v>
      </c>
      <c r="F399" s="61" t="str">
        <f t="shared" si="6"/>
        <v>借</v>
      </c>
      <c r="G399" s="64">
        <f>SUM(D$6:E399)</f>
        <v>118902083</v>
      </c>
      <c r="H399" s="61" t="s">
        <v>606</v>
      </c>
      <c r="I399" s="61" t="s">
        <v>625</v>
      </c>
      <c r="J399" s="61" t="s">
        <v>114</v>
      </c>
      <c r="K399" s="64">
        <v>-28900</v>
      </c>
      <c r="L399" s="61"/>
      <c r="M399" s="65" t="s">
        <v>590</v>
      </c>
      <c r="N399" s="61"/>
      <c r="O399" s="61"/>
      <c r="P399" s="61"/>
      <c r="Q399" s="61"/>
      <c r="R399" s="61">
        <v>512509</v>
      </c>
      <c r="S399" s="66" t="s">
        <v>825</v>
      </c>
    </row>
    <row r="400" spans="1:19">
      <c r="A400" s="61" t="s">
        <v>537</v>
      </c>
      <c r="B400" s="62">
        <v>45953</v>
      </c>
      <c r="C400" s="63" t="s">
        <v>1199</v>
      </c>
      <c r="D400" s="67">
        <v>142955</v>
      </c>
      <c r="E400" s="67"/>
      <c r="F400" s="61" t="str">
        <f t="shared" si="6"/>
        <v>借</v>
      </c>
      <c r="G400" s="64">
        <f>SUM(D$6:E400)</f>
        <v>119045038</v>
      </c>
      <c r="H400" s="61" t="s">
        <v>610</v>
      </c>
      <c r="I400" s="61" t="s">
        <v>620</v>
      </c>
      <c r="J400" s="61" t="s">
        <v>114</v>
      </c>
      <c r="K400" s="64">
        <v>142955</v>
      </c>
      <c r="L400" s="61"/>
      <c r="M400" s="65" t="s">
        <v>590</v>
      </c>
      <c r="N400" s="61"/>
      <c r="O400" s="61"/>
      <c r="P400" s="61"/>
      <c r="Q400" s="61"/>
      <c r="R400" s="61">
        <v>512509</v>
      </c>
      <c r="S400" s="66" t="s">
        <v>825</v>
      </c>
    </row>
    <row r="401" spans="1:19">
      <c r="A401" s="61" t="s">
        <v>537</v>
      </c>
      <c r="B401" s="62">
        <v>45957</v>
      </c>
      <c r="C401" s="63" t="s">
        <v>1202</v>
      </c>
      <c r="D401" s="67"/>
      <c r="E401" s="67">
        <v>-313399</v>
      </c>
      <c r="F401" s="61" t="str">
        <f t="shared" si="6"/>
        <v>借</v>
      </c>
      <c r="G401" s="64">
        <f>SUM(D$6:E401)</f>
        <v>118731639</v>
      </c>
      <c r="H401" s="61" t="s">
        <v>610</v>
      </c>
      <c r="I401" s="61" t="s">
        <v>625</v>
      </c>
      <c r="J401" s="61" t="s">
        <v>114</v>
      </c>
      <c r="K401" s="64">
        <v>-313399</v>
      </c>
      <c r="L401" s="61"/>
      <c r="M401" s="65" t="s">
        <v>590</v>
      </c>
      <c r="N401" s="61"/>
      <c r="O401" s="61"/>
      <c r="P401" s="61"/>
      <c r="Q401" s="61"/>
      <c r="R401" s="61">
        <v>512829</v>
      </c>
      <c r="S401" s="66" t="s">
        <v>825</v>
      </c>
    </row>
    <row r="402" spans="1:19">
      <c r="A402" s="61" t="s">
        <v>537</v>
      </c>
      <c r="B402" s="62">
        <v>45957</v>
      </c>
      <c r="C402" s="63" t="s">
        <v>1201</v>
      </c>
      <c r="D402" s="67"/>
      <c r="E402" s="67">
        <v>-41555</v>
      </c>
      <c r="F402" s="61" t="str">
        <f t="shared" si="6"/>
        <v>借</v>
      </c>
      <c r="G402" s="64">
        <f>SUM(D$6:E402)</f>
        <v>118690084</v>
      </c>
      <c r="H402" s="61" t="s">
        <v>606</v>
      </c>
      <c r="I402" s="61" t="s">
        <v>625</v>
      </c>
      <c r="J402" s="61" t="s">
        <v>114</v>
      </c>
      <c r="K402" s="64">
        <v>-41555</v>
      </c>
      <c r="L402" s="61"/>
      <c r="M402" s="65" t="s">
        <v>590</v>
      </c>
      <c r="N402" s="61"/>
      <c r="O402" s="61"/>
      <c r="P402" s="61"/>
      <c r="Q402" s="61"/>
      <c r="R402" s="61">
        <v>512829</v>
      </c>
      <c r="S402" s="66" t="s">
        <v>825</v>
      </c>
    </row>
    <row r="403" spans="1:19">
      <c r="A403" s="61" t="s">
        <v>537</v>
      </c>
      <c r="B403" s="62">
        <v>45959</v>
      </c>
      <c r="C403" s="63" t="s">
        <v>1203</v>
      </c>
      <c r="D403" s="67">
        <v>98588</v>
      </c>
      <c r="E403" s="67"/>
      <c r="F403" s="61" t="str">
        <f t="shared" si="6"/>
        <v>借</v>
      </c>
      <c r="G403" s="64">
        <f>SUM(D$6:E403)</f>
        <v>118788672</v>
      </c>
      <c r="H403" s="61" t="s">
        <v>610</v>
      </c>
      <c r="I403" s="61" t="s">
        <v>620</v>
      </c>
      <c r="J403" s="61" t="s">
        <v>114</v>
      </c>
      <c r="K403" s="64">
        <v>98588</v>
      </c>
      <c r="L403" s="61"/>
      <c r="M403" s="65" t="s">
        <v>590</v>
      </c>
      <c r="N403" s="61"/>
      <c r="O403" s="61"/>
      <c r="P403" s="61"/>
      <c r="Q403" s="61"/>
      <c r="R403" s="61">
        <v>513575</v>
      </c>
      <c r="S403" s="66" t="s">
        <v>825</v>
      </c>
    </row>
    <row r="404" spans="1:19">
      <c r="A404" s="61" t="s">
        <v>537</v>
      </c>
      <c r="B404" s="62">
        <v>45960</v>
      </c>
      <c r="C404" s="63" t="s">
        <v>1205</v>
      </c>
      <c r="D404" s="67"/>
      <c r="E404" s="67">
        <v>-27554</v>
      </c>
      <c r="F404" s="61" t="str">
        <f t="shared" si="6"/>
        <v>借</v>
      </c>
      <c r="G404" s="64">
        <f>SUM(D$6:E404)</f>
        <v>118761118</v>
      </c>
      <c r="H404" s="61" t="s">
        <v>606</v>
      </c>
      <c r="I404" s="61" t="s">
        <v>625</v>
      </c>
      <c r="J404" s="61" t="s">
        <v>114</v>
      </c>
      <c r="K404" s="64">
        <v>-27554</v>
      </c>
      <c r="L404" s="61"/>
      <c r="M404" s="65" t="s">
        <v>590</v>
      </c>
      <c r="N404" s="61"/>
      <c r="O404" s="61"/>
      <c r="P404" s="61"/>
      <c r="Q404" s="61"/>
      <c r="R404" s="61">
        <v>514012</v>
      </c>
      <c r="S404" s="66" t="s">
        <v>825</v>
      </c>
    </row>
    <row r="405" spans="1:19">
      <c r="A405" s="61" t="s">
        <v>537</v>
      </c>
      <c r="B405" s="62">
        <v>45960</v>
      </c>
      <c r="C405" s="63" t="s">
        <v>1204</v>
      </c>
      <c r="D405" s="67">
        <v>114494</v>
      </c>
      <c r="E405" s="67"/>
      <c r="F405" s="61" t="str">
        <f t="shared" si="6"/>
        <v>借</v>
      </c>
      <c r="G405" s="64">
        <f>SUM(D$6:E405)</f>
        <v>118875612</v>
      </c>
      <c r="H405" s="61" t="s">
        <v>610</v>
      </c>
      <c r="I405" s="61" t="s">
        <v>620</v>
      </c>
      <c r="J405" s="61" t="s">
        <v>114</v>
      </c>
      <c r="K405" s="64">
        <v>114494</v>
      </c>
      <c r="L405" s="61"/>
      <c r="M405" s="65" t="s">
        <v>590</v>
      </c>
      <c r="N405" s="61"/>
      <c r="O405" s="61"/>
      <c r="P405" s="61"/>
      <c r="Q405" s="61"/>
      <c r="R405" s="61">
        <v>514012</v>
      </c>
      <c r="S405" s="66" t="s">
        <v>825</v>
      </c>
    </row>
    <row r="406" spans="1:19">
      <c r="A406" s="61" t="s">
        <v>537</v>
      </c>
      <c r="B406" s="62">
        <v>45961</v>
      </c>
      <c r="C406" s="63" t="s">
        <v>1227</v>
      </c>
      <c r="D406" s="67"/>
      <c r="E406" s="67">
        <v>-83432</v>
      </c>
      <c r="F406" s="61" t="str">
        <f t="shared" si="6"/>
        <v>借</v>
      </c>
      <c r="G406" s="64">
        <f>SUM(D$6:E406)</f>
        <v>118792180</v>
      </c>
      <c r="H406" s="61" t="s">
        <v>610</v>
      </c>
      <c r="I406" s="61" t="s">
        <v>1226</v>
      </c>
      <c r="J406" s="61" t="s">
        <v>114</v>
      </c>
      <c r="K406" s="64">
        <v>-83432</v>
      </c>
      <c r="L406" s="61"/>
      <c r="M406" s="65" t="s">
        <v>590</v>
      </c>
      <c r="N406" s="61"/>
      <c r="O406" s="61"/>
      <c r="P406" s="61"/>
      <c r="Q406" s="61"/>
      <c r="R406" s="61">
        <v>515449</v>
      </c>
      <c r="S406" s="66" t="s">
        <v>825</v>
      </c>
    </row>
    <row r="407" spans="1:19">
      <c r="A407" s="61" t="s">
        <v>537</v>
      </c>
      <c r="B407" s="62">
        <v>45961</v>
      </c>
      <c r="C407" s="63" t="s">
        <v>1225</v>
      </c>
      <c r="D407" s="67"/>
      <c r="E407" s="67">
        <v>-50186</v>
      </c>
      <c r="F407" s="61" t="str">
        <f t="shared" si="6"/>
        <v>借</v>
      </c>
      <c r="G407" s="64">
        <f>SUM(D$6:E407)</f>
        <v>118741994</v>
      </c>
      <c r="H407" s="61" t="s">
        <v>606</v>
      </c>
      <c r="I407" s="61" t="s">
        <v>1226</v>
      </c>
      <c r="J407" s="61" t="s">
        <v>114</v>
      </c>
      <c r="K407" s="64">
        <v>-50186</v>
      </c>
      <c r="L407" s="61"/>
      <c r="M407" s="65" t="s">
        <v>590</v>
      </c>
      <c r="N407" s="61"/>
      <c r="O407" s="61"/>
      <c r="P407" s="61"/>
      <c r="Q407" s="61"/>
      <c r="R407" s="61">
        <v>515449</v>
      </c>
      <c r="S407" s="66" t="s">
        <v>825</v>
      </c>
    </row>
    <row r="408" spans="1:19">
      <c r="A408" s="61" t="s">
        <v>537</v>
      </c>
      <c r="B408" s="62">
        <v>45961</v>
      </c>
      <c r="C408" s="63" t="s">
        <v>1228</v>
      </c>
      <c r="D408" s="67">
        <v>43391</v>
      </c>
      <c r="E408" s="67"/>
      <c r="F408" s="61" t="str">
        <f t="shared" si="6"/>
        <v>借</v>
      </c>
      <c r="G408" s="64">
        <f>SUM(D$6:E408)</f>
        <v>118785385</v>
      </c>
      <c r="H408" s="61" t="s">
        <v>606</v>
      </c>
      <c r="I408" s="61" t="s">
        <v>1226</v>
      </c>
      <c r="J408" s="61" t="s">
        <v>114</v>
      </c>
      <c r="K408" s="64">
        <v>43391</v>
      </c>
      <c r="L408" s="61"/>
      <c r="M408" s="65" t="s">
        <v>590</v>
      </c>
      <c r="N408" s="61"/>
      <c r="O408" s="61"/>
      <c r="P408" s="61"/>
      <c r="Q408" s="61"/>
      <c r="R408" s="61">
        <v>515449</v>
      </c>
      <c r="S408" s="66" t="s">
        <v>825</v>
      </c>
    </row>
    <row r="409" spans="1:19">
      <c r="A409" s="61" t="s">
        <v>537</v>
      </c>
      <c r="B409" s="62">
        <v>45961</v>
      </c>
      <c r="C409" s="63" t="s">
        <v>1229</v>
      </c>
      <c r="D409" s="67">
        <v>83722</v>
      </c>
      <c r="E409" s="67"/>
      <c r="F409" s="61" t="str">
        <f t="shared" si="6"/>
        <v>借</v>
      </c>
      <c r="G409" s="64">
        <f>SUM(D$6:E409)</f>
        <v>118869107</v>
      </c>
      <c r="H409" s="61" t="s">
        <v>610</v>
      </c>
      <c r="I409" s="61" t="s">
        <v>1226</v>
      </c>
      <c r="J409" s="61" t="s">
        <v>114</v>
      </c>
      <c r="K409" s="64">
        <v>83722</v>
      </c>
      <c r="L409" s="61"/>
      <c r="M409" s="65" t="s">
        <v>590</v>
      </c>
      <c r="N409" s="61"/>
      <c r="O409" s="61"/>
      <c r="P409" s="61"/>
      <c r="Q409" s="61"/>
      <c r="R409" s="61">
        <v>515449</v>
      </c>
      <c r="S409" s="66" t="s">
        <v>825</v>
      </c>
    </row>
    <row r="410" spans="1:19">
      <c r="A410" s="61" t="s">
        <v>537</v>
      </c>
      <c r="B410" s="62">
        <v>45964</v>
      </c>
      <c r="C410" s="63" t="s">
        <v>1230</v>
      </c>
      <c r="D410" s="67"/>
      <c r="E410" s="67">
        <v>-41118</v>
      </c>
      <c r="F410" s="61" t="str">
        <f t="shared" si="6"/>
        <v>借</v>
      </c>
      <c r="G410" s="64">
        <f>SUM(D$6:E410)</f>
        <v>118827989</v>
      </c>
      <c r="H410" s="61" t="s">
        <v>610</v>
      </c>
      <c r="I410" s="61" t="s">
        <v>625</v>
      </c>
      <c r="J410" s="61" t="s">
        <v>114</v>
      </c>
      <c r="K410" s="64">
        <v>-41118</v>
      </c>
      <c r="L410" s="61"/>
      <c r="M410" s="65" t="s">
        <v>590</v>
      </c>
      <c r="N410" s="61"/>
      <c r="O410" s="61"/>
      <c r="P410" s="61"/>
      <c r="Q410" s="61"/>
      <c r="R410" s="61">
        <v>514553</v>
      </c>
      <c r="S410" s="66" t="s">
        <v>825</v>
      </c>
    </row>
    <row r="411" spans="1:19">
      <c r="A411" s="61" t="s">
        <v>537</v>
      </c>
      <c r="B411" s="62">
        <v>45965</v>
      </c>
      <c r="C411" s="63" t="s">
        <v>1231</v>
      </c>
      <c r="D411" s="67"/>
      <c r="E411" s="67">
        <v>-44024</v>
      </c>
      <c r="F411" s="61" t="str">
        <f t="shared" si="6"/>
        <v>借</v>
      </c>
      <c r="G411" s="64">
        <f>SUM(D$6:E411)</f>
        <v>118783965</v>
      </c>
      <c r="H411" s="61" t="s">
        <v>606</v>
      </c>
      <c r="I411" s="61" t="s">
        <v>625</v>
      </c>
      <c r="J411" s="61" t="s">
        <v>114</v>
      </c>
      <c r="K411" s="64">
        <v>-44024</v>
      </c>
      <c r="L411" s="61"/>
      <c r="M411" s="65" t="s">
        <v>590</v>
      </c>
      <c r="N411" s="61"/>
      <c r="O411" s="61"/>
      <c r="P411" s="61"/>
      <c r="Q411" s="61"/>
      <c r="R411" s="61">
        <v>515244</v>
      </c>
      <c r="S411" s="66" t="s">
        <v>825</v>
      </c>
    </row>
    <row r="412" spans="1:19">
      <c r="A412" s="61" t="s">
        <v>537</v>
      </c>
      <c r="B412" s="62">
        <v>45966</v>
      </c>
      <c r="C412" s="63" t="s">
        <v>1232</v>
      </c>
      <c r="D412" s="67">
        <v>104880</v>
      </c>
      <c r="E412" s="67"/>
      <c r="F412" s="61" t="str">
        <f t="shared" si="6"/>
        <v>借</v>
      </c>
      <c r="G412" s="64">
        <f>SUM(D$6:E412)</f>
        <v>118888845</v>
      </c>
      <c r="H412" s="61" t="s">
        <v>606</v>
      </c>
      <c r="I412" s="61" t="s">
        <v>620</v>
      </c>
      <c r="J412" s="61" t="s">
        <v>114</v>
      </c>
      <c r="K412" s="64">
        <v>104880</v>
      </c>
      <c r="L412" s="61"/>
      <c r="M412" s="65" t="s">
        <v>590</v>
      </c>
      <c r="N412" s="61"/>
      <c r="O412" s="61"/>
      <c r="P412" s="61"/>
      <c r="Q412" s="61"/>
      <c r="R412" s="61">
        <v>515746</v>
      </c>
      <c r="S412" s="66" t="s">
        <v>825</v>
      </c>
    </row>
    <row r="413" spans="1:19">
      <c r="A413" s="61" t="s">
        <v>537</v>
      </c>
      <c r="B413" s="62">
        <v>45966</v>
      </c>
      <c r="C413" s="63" t="s">
        <v>1233</v>
      </c>
      <c r="D413" s="67">
        <v>559694</v>
      </c>
      <c r="E413" s="67"/>
      <c r="F413" s="61" t="str">
        <f t="shared" si="6"/>
        <v>借</v>
      </c>
      <c r="G413" s="64">
        <f>SUM(D$6:E413)</f>
        <v>119448539</v>
      </c>
      <c r="H413" s="61" t="s">
        <v>610</v>
      </c>
      <c r="I413" s="61" t="s">
        <v>620</v>
      </c>
      <c r="J413" s="61" t="s">
        <v>114</v>
      </c>
      <c r="K413" s="64">
        <v>559694</v>
      </c>
      <c r="L413" s="61"/>
      <c r="M413" s="65" t="s">
        <v>590</v>
      </c>
      <c r="N413" s="61"/>
      <c r="O413" s="61"/>
      <c r="P413" s="61"/>
      <c r="Q413" s="61"/>
      <c r="R413" s="61">
        <v>515746</v>
      </c>
      <c r="S413" s="66" t="s">
        <v>825</v>
      </c>
    </row>
    <row r="414" spans="1:19">
      <c r="A414" s="61" t="s">
        <v>537</v>
      </c>
      <c r="B414" s="62">
        <v>45967</v>
      </c>
      <c r="C414" s="63" t="s">
        <v>1234</v>
      </c>
      <c r="D414" s="67">
        <v>320563</v>
      </c>
      <c r="E414" s="67"/>
      <c r="F414" s="61" t="str">
        <f t="shared" si="6"/>
        <v>借</v>
      </c>
      <c r="G414" s="64">
        <f>SUM(D$6:E414)</f>
        <v>119769102</v>
      </c>
      <c r="H414" s="61" t="s">
        <v>610</v>
      </c>
      <c r="I414" s="61" t="s">
        <v>620</v>
      </c>
      <c r="J414" s="61" t="s">
        <v>114</v>
      </c>
      <c r="K414" s="64">
        <v>320563</v>
      </c>
      <c r="L414" s="61"/>
      <c r="M414" s="65" t="s">
        <v>590</v>
      </c>
      <c r="N414" s="61"/>
      <c r="O414" s="61"/>
      <c r="P414" s="61"/>
      <c r="Q414" s="61"/>
      <c r="R414" s="61">
        <v>515882</v>
      </c>
      <c r="S414" s="66" t="s">
        <v>825</v>
      </c>
    </row>
    <row r="415" spans="1:19">
      <c r="A415" s="61" t="s">
        <v>537</v>
      </c>
      <c r="B415" s="62">
        <v>45968</v>
      </c>
      <c r="C415" s="63" t="s">
        <v>1236</v>
      </c>
      <c r="D415" s="67"/>
      <c r="E415" s="67">
        <v>-286678</v>
      </c>
      <c r="F415" s="61" t="str">
        <f t="shared" si="6"/>
        <v>借</v>
      </c>
      <c r="G415" s="64">
        <f>SUM(D$6:E415)</f>
        <v>119482424</v>
      </c>
      <c r="H415" s="61" t="s">
        <v>610</v>
      </c>
      <c r="I415" s="61" t="s">
        <v>625</v>
      </c>
      <c r="J415" s="61" t="s">
        <v>114</v>
      </c>
      <c r="K415" s="64">
        <v>-286678</v>
      </c>
      <c r="L415" s="61"/>
      <c r="M415" s="65" t="s">
        <v>590</v>
      </c>
      <c r="N415" s="61"/>
      <c r="O415" s="61"/>
      <c r="P415" s="61"/>
      <c r="Q415" s="61"/>
      <c r="R415" s="61">
        <v>516112</v>
      </c>
      <c r="S415" s="66" t="s">
        <v>825</v>
      </c>
    </row>
    <row r="416" spans="1:19">
      <c r="A416" s="61" t="s">
        <v>537</v>
      </c>
      <c r="B416" s="62">
        <v>45968</v>
      </c>
      <c r="C416" s="63" t="s">
        <v>1235</v>
      </c>
      <c r="D416" s="67">
        <v>732673</v>
      </c>
      <c r="E416" s="67"/>
      <c r="F416" s="61" t="str">
        <f t="shared" si="6"/>
        <v>借</v>
      </c>
      <c r="G416" s="64">
        <f>SUM(D$6:E416)</f>
        <v>120215097</v>
      </c>
      <c r="H416" s="61" t="s">
        <v>606</v>
      </c>
      <c r="I416" s="61" t="s">
        <v>620</v>
      </c>
      <c r="J416" s="61" t="s">
        <v>114</v>
      </c>
      <c r="K416" s="64">
        <v>732673</v>
      </c>
      <c r="L416" s="61"/>
      <c r="M416" s="65" t="s">
        <v>590</v>
      </c>
      <c r="N416" s="61"/>
      <c r="O416" s="61"/>
      <c r="P416" s="61"/>
      <c r="Q416" s="61"/>
      <c r="R416" s="61">
        <v>516112</v>
      </c>
      <c r="S416" s="66" t="s">
        <v>825</v>
      </c>
    </row>
    <row r="417" spans="1:19">
      <c r="A417" s="61" t="s">
        <v>537</v>
      </c>
      <c r="B417" s="62">
        <v>45971</v>
      </c>
      <c r="C417" s="63" t="s">
        <v>1239</v>
      </c>
      <c r="D417" s="67"/>
      <c r="E417" s="67">
        <v>-20000000</v>
      </c>
      <c r="F417" s="61" t="str">
        <f t="shared" si="6"/>
        <v>借</v>
      </c>
      <c r="G417" s="64">
        <f>SUM(D$6:E417)</f>
        <v>100215097</v>
      </c>
      <c r="H417" s="61"/>
      <c r="I417" s="61" t="s">
        <v>597</v>
      </c>
      <c r="J417" s="61" t="s">
        <v>114</v>
      </c>
      <c r="K417" s="64">
        <v>-20000000</v>
      </c>
      <c r="L417" s="61" t="s">
        <v>549</v>
      </c>
      <c r="M417" s="65" t="s">
        <v>557</v>
      </c>
      <c r="N417" s="61"/>
      <c r="O417" s="61"/>
      <c r="P417" s="61"/>
      <c r="Q417" s="61"/>
      <c r="R417" s="61">
        <v>516968</v>
      </c>
      <c r="S417" s="66" t="s">
        <v>845</v>
      </c>
    </row>
    <row r="418" spans="1:19">
      <c r="A418" s="61" t="s">
        <v>537</v>
      </c>
      <c r="B418" s="62">
        <v>45971</v>
      </c>
      <c r="C418" s="63" t="s">
        <v>1238</v>
      </c>
      <c r="D418" s="67">
        <v>254534</v>
      </c>
      <c r="E418" s="67"/>
      <c r="F418" s="61" t="str">
        <f t="shared" si="6"/>
        <v>借</v>
      </c>
      <c r="G418" s="64">
        <f>SUM(D$6:E418)</f>
        <v>100469631</v>
      </c>
      <c r="H418" s="61" t="s">
        <v>610</v>
      </c>
      <c r="I418" s="61" t="s">
        <v>620</v>
      </c>
      <c r="J418" s="61" t="s">
        <v>114</v>
      </c>
      <c r="K418" s="64">
        <v>254534</v>
      </c>
      <c r="L418" s="61"/>
      <c r="M418" s="65" t="s">
        <v>590</v>
      </c>
      <c r="N418" s="61"/>
      <c r="O418" s="61"/>
      <c r="P418" s="61"/>
      <c r="Q418" s="61"/>
      <c r="R418" s="61">
        <v>516117</v>
      </c>
      <c r="S418" s="66" t="s">
        <v>825</v>
      </c>
    </row>
    <row r="419" spans="1:19">
      <c r="A419" s="61" t="s">
        <v>537</v>
      </c>
      <c r="B419" s="62">
        <v>45971</v>
      </c>
      <c r="C419" s="63" t="s">
        <v>1237</v>
      </c>
      <c r="D419" s="67">
        <v>1903849</v>
      </c>
      <c r="E419" s="67"/>
      <c r="F419" s="61" t="str">
        <f t="shared" si="6"/>
        <v>借</v>
      </c>
      <c r="G419" s="64">
        <f>SUM(D$6:E419)</f>
        <v>102373480</v>
      </c>
      <c r="H419" s="61" t="s">
        <v>606</v>
      </c>
      <c r="I419" s="61" t="s">
        <v>620</v>
      </c>
      <c r="J419" s="61" t="s">
        <v>114</v>
      </c>
      <c r="K419" s="64">
        <v>1903849</v>
      </c>
      <c r="L419" s="61"/>
      <c r="M419" s="65" t="s">
        <v>590</v>
      </c>
      <c r="N419" s="61"/>
      <c r="O419" s="61"/>
      <c r="P419" s="61"/>
      <c r="Q419" s="61"/>
      <c r="R419" s="61">
        <v>516117</v>
      </c>
      <c r="S419" s="66" t="s">
        <v>825</v>
      </c>
    </row>
    <row r="420" spans="1:19">
      <c r="A420" s="61" t="s">
        <v>537</v>
      </c>
      <c r="B420" s="62">
        <v>45972</v>
      </c>
      <c r="C420" s="63" t="s">
        <v>1240</v>
      </c>
      <c r="D420" s="67">
        <v>328270</v>
      </c>
      <c r="E420" s="67"/>
      <c r="F420" s="61" t="str">
        <f t="shared" si="6"/>
        <v>借</v>
      </c>
      <c r="G420" s="64">
        <f>SUM(D$6:E420)</f>
        <v>102701750</v>
      </c>
      <c r="H420" s="61" t="s">
        <v>610</v>
      </c>
      <c r="I420" s="61" t="s">
        <v>620</v>
      </c>
      <c r="J420" s="61" t="s">
        <v>114</v>
      </c>
      <c r="K420" s="64">
        <v>328270</v>
      </c>
      <c r="L420" s="61"/>
      <c r="M420" s="65" t="s">
        <v>590</v>
      </c>
      <c r="N420" s="61"/>
      <c r="O420" s="61"/>
      <c r="P420" s="61"/>
      <c r="Q420" s="61"/>
      <c r="R420" s="61">
        <v>516512</v>
      </c>
      <c r="S420" s="66" t="s">
        <v>825</v>
      </c>
    </row>
    <row r="421" spans="1:19">
      <c r="A421" s="61" t="s">
        <v>537</v>
      </c>
      <c r="B421" s="62">
        <v>45973</v>
      </c>
      <c r="C421" s="63" t="s">
        <v>1242</v>
      </c>
      <c r="D421" s="67"/>
      <c r="E421" s="67">
        <v>-68417</v>
      </c>
      <c r="F421" s="61" t="str">
        <f t="shared" si="6"/>
        <v>借</v>
      </c>
      <c r="G421" s="64">
        <f>SUM(D$6:E421)</f>
        <v>102633333</v>
      </c>
      <c r="H421" s="61" t="s">
        <v>606</v>
      </c>
      <c r="I421" s="61" t="s">
        <v>625</v>
      </c>
      <c r="J421" s="61" t="s">
        <v>114</v>
      </c>
      <c r="K421" s="64">
        <v>-68417</v>
      </c>
      <c r="L421" s="61"/>
      <c r="M421" s="65" t="s">
        <v>590</v>
      </c>
      <c r="N421" s="61"/>
      <c r="O421" s="61"/>
      <c r="P421" s="61"/>
      <c r="Q421" s="61"/>
      <c r="R421" s="61">
        <v>516504</v>
      </c>
      <c r="S421" s="66" t="s">
        <v>825</v>
      </c>
    </row>
    <row r="422" spans="1:19">
      <c r="A422" s="61" t="s">
        <v>537</v>
      </c>
      <c r="B422" s="62">
        <v>45973</v>
      </c>
      <c r="C422" s="63" t="s">
        <v>1241</v>
      </c>
      <c r="D422" s="67">
        <v>47389</v>
      </c>
      <c r="E422" s="67"/>
      <c r="F422" s="61" t="str">
        <f t="shared" si="6"/>
        <v>借</v>
      </c>
      <c r="G422" s="64">
        <f>SUM(D$6:E422)</f>
        <v>102680722</v>
      </c>
      <c r="H422" s="61" t="s">
        <v>610</v>
      </c>
      <c r="I422" s="61" t="s">
        <v>620</v>
      </c>
      <c r="J422" s="61" t="s">
        <v>114</v>
      </c>
      <c r="K422" s="64">
        <v>47389</v>
      </c>
      <c r="L422" s="61"/>
      <c r="M422" s="65" t="s">
        <v>590</v>
      </c>
      <c r="N422" s="61"/>
      <c r="O422" s="61"/>
      <c r="P422" s="61"/>
      <c r="Q422" s="61"/>
      <c r="R422" s="61">
        <v>516504</v>
      </c>
      <c r="S422" s="66" t="s">
        <v>825</v>
      </c>
    </row>
    <row r="423" spans="1:19">
      <c r="A423" s="61" t="s">
        <v>537</v>
      </c>
      <c r="B423" s="62">
        <v>45975</v>
      </c>
      <c r="C423" s="63" t="s">
        <v>1265</v>
      </c>
      <c r="D423" s="67"/>
      <c r="E423" s="67">
        <v>-92305</v>
      </c>
      <c r="F423" s="61" t="str">
        <f t="shared" si="6"/>
        <v>借</v>
      </c>
      <c r="G423" s="64">
        <f>SUM(D$6:E423)</f>
        <v>102588417</v>
      </c>
      <c r="H423" s="61" t="s">
        <v>610</v>
      </c>
      <c r="I423" s="61" t="s">
        <v>625</v>
      </c>
      <c r="J423" s="61" t="s">
        <v>114</v>
      </c>
      <c r="K423" s="64">
        <v>-92305</v>
      </c>
      <c r="L423" s="61"/>
      <c r="M423" s="65" t="s">
        <v>590</v>
      </c>
      <c r="N423" s="61"/>
      <c r="O423" s="61"/>
      <c r="P423" s="61"/>
      <c r="Q423" s="61"/>
      <c r="R423" s="61">
        <v>517278</v>
      </c>
      <c r="S423" s="66" t="s">
        <v>825</v>
      </c>
    </row>
    <row r="424" spans="1:19">
      <c r="A424" s="61" t="s">
        <v>537</v>
      </c>
      <c r="B424" s="62">
        <v>45975</v>
      </c>
      <c r="C424" s="63" t="s">
        <v>1266</v>
      </c>
      <c r="D424" s="67">
        <v>77379</v>
      </c>
      <c r="E424" s="67"/>
      <c r="F424" s="61" t="str">
        <f t="shared" si="6"/>
        <v>借</v>
      </c>
      <c r="G424" s="64">
        <f>SUM(D$6:E424)</f>
        <v>102665796</v>
      </c>
      <c r="H424" s="61" t="s">
        <v>606</v>
      </c>
      <c r="I424" s="61" t="s">
        <v>620</v>
      </c>
      <c r="J424" s="61" t="s">
        <v>114</v>
      </c>
      <c r="K424" s="64">
        <v>77379</v>
      </c>
      <c r="L424" s="61"/>
      <c r="M424" s="65" t="s">
        <v>590</v>
      </c>
      <c r="N424" s="61"/>
      <c r="O424" s="61"/>
      <c r="P424" s="61"/>
      <c r="Q424" s="61"/>
      <c r="R424" s="61">
        <v>517278</v>
      </c>
      <c r="S424" s="66" t="s">
        <v>825</v>
      </c>
    </row>
    <row r="425" spans="1:19">
      <c r="A425" s="61" t="s">
        <v>537</v>
      </c>
      <c r="B425" s="62">
        <v>45978</v>
      </c>
      <c r="C425" s="63" t="s">
        <v>1268</v>
      </c>
      <c r="D425" s="67"/>
      <c r="E425" s="67">
        <v>-221339</v>
      </c>
      <c r="F425" s="61" t="str">
        <f t="shared" si="6"/>
        <v>借</v>
      </c>
      <c r="G425" s="64">
        <f>SUM(D$6:E425)</f>
        <v>102444457</v>
      </c>
      <c r="H425" s="61" t="s">
        <v>610</v>
      </c>
      <c r="I425" s="61" t="s">
        <v>625</v>
      </c>
      <c r="J425" s="61" t="s">
        <v>114</v>
      </c>
      <c r="K425" s="64">
        <v>-221339</v>
      </c>
      <c r="L425" s="61"/>
      <c r="M425" s="65" t="s">
        <v>590</v>
      </c>
      <c r="N425" s="61"/>
      <c r="O425" s="61"/>
      <c r="P425" s="61"/>
      <c r="Q425" s="61"/>
      <c r="R425" s="61">
        <v>517273</v>
      </c>
      <c r="S425" s="66" t="s">
        <v>825</v>
      </c>
    </row>
    <row r="426" spans="1:19">
      <c r="A426" s="61" t="s">
        <v>537</v>
      </c>
      <c r="B426" s="62">
        <v>45978</v>
      </c>
      <c r="C426" s="63" t="s">
        <v>1267</v>
      </c>
      <c r="D426" s="67"/>
      <c r="E426" s="67">
        <v>-62071</v>
      </c>
      <c r="F426" s="61" t="str">
        <f t="shared" si="6"/>
        <v>借</v>
      </c>
      <c r="G426" s="64">
        <f>SUM(D$6:E426)</f>
        <v>102382386</v>
      </c>
      <c r="H426" s="61" t="s">
        <v>606</v>
      </c>
      <c r="I426" s="61" t="s">
        <v>625</v>
      </c>
      <c r="J426" s="61" t="s">
        <v>114</v>
      </c>
      <c r="K426" s="64">
        <v>-62071</v>
      </c>
      <c r="L426" s="61"/>
      <c r="M426" s="65" t="s">
        <v>590</v>
      </c>
      <c r="N426" s="61"/>
      <c r="O426" s="61"/>
      <c r="P426" s="61"/>
      <c r="Q426" s="61"/>
      <c r="R426" s="61">
        <v>517273</v>
      </c>
      <c r="S426" s="66" t="s">
        <v>825</v>
      </c>
    </row>
    <row r="427" spans="1:19">
      <c r="A427" s="61" t="s">
        <v>537</v>
      </c>
      <c r="B427" s="62">
        <v>45979</v>
      </c>
      <c r="C427" s="63" t="s">
        <v>1269</v>
      </c>
      <c r="D427" s="67"/>
      <c r="E427" s="67">
        <v>-242564</v>
      </c>
      <c r="F427" s="61" t="str">
        <f t="shared" si="6"/>
        <v>借</v>
      </c>
      <c r="G427" s="64">
        <f>SUM(D$6:E427)</f>
        <v>102139822</v>
      </c>
      <c r="H427" s="61" t="s">
        <v>610</v>
      </c>
      <c r="I427" s="61" t="s">
        <v>625</v>
      </c>
      <c r="J427" s="61" t="s">
        <v>114</v>
      </c>
      <c r="K427" s="64">
        <v>-242564</v>
      </c>
      <c r="L427" s="61"/>
      <c r="M427" s="65" t="s">
        <v>590</v>
      </c>
      <c r="N427" s="61"/>
      <c r="O427" s="61"/>
      <c r="P427" s="61"/>
      <c r="Q427" s="61"/>
      <c r="R427" s="61">
        <v>517459</v>
      </c>
      <c r="S427" s="66" t="s">
        <v>825</v>
      </c>
    </row>
    <row r="428" spans="1:19">
      <c r="A428" s="61" t="s">
        <v>537</v>
      </c>
      <c r="B428" s="62">
        <v>45979</v>
      </c>
      <c r="C428" s="63" t="s">
        <v>1270</v>
      </c>
      <c r="D428" s="67">
        <v>101840</v>
      </c>
      <c r="E428" s="67"/>
      <c r="F428" s="61" t="str">
        <f t="shared" si="6"/>
        <v>借</v>
      </c>
      <c r="G428" s="64">
        <f>SUM(D$6:E428)</f>
        <v>102241662</v>
      </c>
      <c r="H428" s="61" t="s">
        <v>606</v>
      </c>
      <c r="I428" s="61" t="s">
        <v>620</v>
      </c>
      <c r="J428" s="61" t="s">
        <v>114</v>
      </c>
      <c r="K428" s="64">
        <v>101840</v>
      </c>
      <c r="L428" s="61"/>
      <c r="M428" s="65" t="s">
        <v>590</v>
      </c>
      <c r="N428" s="61"/>
      <c r="O428" s="61"/>
      <c r="P428" s="61"/>
      <c r="Q428" s="61"/>
      <c r="R428" s="61">
        <v>517459</v>
      </c>
      <c r="S428" s="66" t="s">
        <v>825</v>
      </c>
    </row>
    <row r="429" spans="1:19">
      <c r="A429" s="61" t="s">
        <v>537</v>
      </c>
      <c r="B429" s="62">
        <v>45980</v>
      </c>
      <c r="C429" s="63" t="s">
        <v>1271</v>
      </c>
      <c r="D429" s="67">
        <v>43608</v>
      </c>
      <c r="E429" s="67"/>
      <c r="F429" s="61" t="str">
        <f t="shared" si="6"/>
        <v>借</v>
      </c>
      <c r="G429" s="64">
        <f>SUM(D$6:E429)</f>
        <v>102285270</v>
      </c>
      <c r="H429" s="61" t="s">
        <v>610</v>
      </c>
      <c r="I429" s="61" t="s">
        <v>620</v>
      </c>
      <c r="J429" s="61" t="s">
        <v>114</v>
      </c>
      <c r="K429" s="64">
        <v>43608</v>
      </c>
      <c r="L429" s="61"/>
      <c r="M429" s="65" t="s">
        <v>590</v>
      </c>
      <c r="N429" s="61"/>
      <c r="O429" s="61"/>
      <c r="P429" s="61"/>
      <c r="Q429" s="61"/>
      <c r="R429" s="61">
        <v>517875</v>
      </c>
      <c r="S429" s="66" t="s">
        <v>825</v>
      </c>
    </row>
    <row r="430" spans="1:19">
      <c r="A430" s="61" t="s">
        <v>537</v>
      </c>
      <c r="B430" s="62">
        <v>45981</v>
      </c>
      <c r="C430" s="63" t="s">
        <v>1273</v>
      </c>
      <c r="D430" s="67"/>
      <c r="E430" s="67">
        <v>-520528</v>
      </c>
      <c r="F430" s="61" t="str">
        <f t="shared" si="6"/>
        <v>借</v>
      </c>
      <c r="G430" s="64">
        <f>SUM(D$6:E430)</f>
        <v>101764742</v>
      </c>
      <c r="H430" s="61" t="s">
        <v>610</v>
      </c>
      <c r="I430" s="61" t="s">
        <v>625</v>
      </c>
      <c r="J430" s="61" t="s">
        <v>114</v>
      </c>
      <c r="K430" s="64">
        <v>-520528</v>
      </c>
      <c r="L430" s="61"/>
      <c r="M430" s="65" t="s">
        <v>590</v>
      </c>
      <c r="N430" s="61"/>
      <c r="O430" s="61"/>
      <c r="P430" s="61"/>
      <c r="Q430" s="61"/>
      <c r="R430" s="61">
        <v>518319</v>
      </c>
      <c r="S430" s="66" t="s">
        <v>825</v>
      </c>
    </row>
    <row r="431" spans="1:19">
      <c r="A431" s="61" t="s">
        <v>537</v>
      </c>
      <c r="B431" s="62">
        <v>45981</v>
      </c>
      <c r="C431" s="63" t="s">
        <v>1272</v>
      </c>
      <c r="D431" s="67"/>
      <c r="E431" s="67">
        <v>-2019</v>
      </c>
      <c r="F431" s="61" t="str">
        <f t="shared" si="6"/>
        <v>借</v>
      </c>
      <c r="G431" s="64">
        <f>SUM(D$6:E431)</f>
        <v>101762723</v>
      </c>
      <c r="H431" s="61" t="s">
        <v>606</v>
      </c>
      <c r="I431" s="61" t="s">
        <v>625</v>
      </c>
      <c r="J431" s="61" t="s">
        <v>114</v>
      </c>
      <c r="K431" s="64">
        <v>-2019</v>
      </c>
      <c r="L431" s="61"/>
      <c r="M431" s="65" t="s">
        <v>590</v>
      </c>
      <c r="N431" s="61"/>
      <c r="O431" s="61"/>
      <c r="P431" s="61"/>
      <c r="Q431" s="61"/>
      <c r="R431" s="61">
        <v>518319</v>
      </c>
      <c r="S431" s="66" t="s">
        <v>825</v>
      </c>
    </row>
    <row r="432" spans="1:19">
      <c r="A432" s="61" t="s">
        <v>537</v>
      </c>
      <c r="B432" s="62">
        <v>45982</v>
      </c>
      <c r="C432" s="63" t="s">
        <v>1274</v>
      </c>
      <c r="D432" s="67"/>
      <c r="E432" s="67">
        <v>-186420</v>
      </c>
      <c r="F432" s="61" t="str">
        <f t="shared" si="6"/>
        <v>借</v>
      </c>
      <c r="G432" s="64">
        <f>SUM(D$6:E432)</f>
        <v>101576303</v>
      </c>
      <c r="H432" s="61" t="s">
        <v>610</v>
      </c>
      <c r="I432" s="61" t="s">
        <v>625</v>
      </c>
      <c r="J432" s="61" t="s">
        <v>114</v>
      </c>
      <c r="K432" s="64">
        <v>-186420</v>
      </c>
      <c r="L432" s="61"/>
      <c r="M432" s="65" t="s">
        <v>590</v>
      </c>
      <c r="N432" s="61"/>
      <c r="O432" s="61"/>
      <c r="P432" s="61"/>
      <c r="Q432" s="61"/>
      <c r="R432" s="61">
        <v>518709</v>
      </c>
      <c r="S432" s="66" t="s">
        <v>825</v>
      </c>
    </row>
    <row r="433" spans="1:19">
      <c r="A433" s="61" t="s">
        <v>537</v>
      </c>
      <c r="B433" s="62">
        <v>45982</v>
      </c>
      <c r="C433" s="63" t="s">
        <v>1275</v>
      </c>
      <c r="D433" s="67">
        <v>29490</v>
      </c>
      <c r="E433" s="67"/>
      <c r="F433" s="61" t="str">
        <f t="shared" si="6"/>
        <v>借</v>
      </c>
      <c r="G433" s="64">
        <f>SUM(D$6:E433)</f>
        <v>101605793</v>
      </c>
      <c r="H433" s="61" t="s">
        <v>606</v>
      </c>
      <c r="I433" s="61" t="s">
        <v>620</v>
      </c>
      <c r="J433" s="61" t="s">
        <v>114</v>
      </c>
      <c r="K433" s="64">
        <v>29490</v>
      </c>
      <c r="L433" s="61"/>
      <c r="M433" s="65" t="s">
        <v>590</v>
      </c>
      <c r="N433" s="61"/>
      <c r="O433" s="61"/>
      <c r="P433" s="61"/>
      <c r="Q433" s="61"/>
      <c r="R433" s="61">
        <v>518709</v>
      </c>
      <c r="S433" s="66" t="s">
        <v>825</v>
      </c>
    </row>
    <row r="434" spans="1:19">
      <c r="A434" s="61" t="s">
        <v>537</v>
      </c>
      <c r="B434" s="62">
        <v>45985</v>
      </c>
      <c r="C434" s="63" t="s">
        <v>1276</v>
      </c>
      <c r="D434" s="67">
        <v>47613</v>
      </c>
      <c r="E434" s="67"/>
      <c r="F434" s="61" t="str">
        <f t="shared" si="6"/>
        <v>借</v>
      </c>
      <c r="G434" s="64">
        <f>SUM(D$6:E434)</f>
        <v>101653406</v>
      </c>
      <c r="H434" s="61" t="s">
        <v>610</v>
      </c>
      <c r="I434" s="61" t="s">
        <v>620</v>
      </c>
      <c r="J434" s="61" t="s">
        <v>114</v>
      </c>
      <c r="K434" s="64">
        <v>47613</v>
      </c>
      <c r="L434" s="61"/>
      <c r="M434" s="65" t="s">
        <v>590</v>
      </c>
      <c r="N434" s="61"/>
      <c r="O434" s="61"/>
      <c r="P434" s="61"/>
      <c r="Q434" s="61"/>
      <c r="R434" s="61">
        <v>519298</v>
      </c>
      <c r="S434" s="66" t="s">
        <v>825</v>
      </c>
    </row>
    <row r="435" spans="1:19">
      <c r="A435" s="61" t="s">
        <v>537</v>
      </c>
      <c r="B435" s="62">
        <v>45986</v>
      </c>
      <c r="C435" s="63" t="s">
        <v>1278</v>
      </c>
      <c r="D435" s="67"/>
      <c r="E435" s="67">
        <v>-281671</v>
      </c>
      <c r="F435" s="61" t="str">
        <f t="shared" si="6"/>
        <v>借</v>
      </c>
      <c r="G435" s="64">
        <f>SUM(D$6:E435)</f>
        <v>101371735</v>
      </c>
      <c r="H435" s="61" t="s">
        <v>610</v>
      </c>
      <c r="I435" s="61" t="s">
        <v>625</v>
      </c>
      <c r="J435" s="61" t="s">
        <v>114</v>
      </c>
      <c r="K435" s="64">
        <v>-281671</v>
      </c>
      <c r="L435" s="61"/>
      <c r="M435" s="65" t="s">
        <v>590</v>
      </c>
      <c r="N435" s="61"/>
      <c r="O435" s="61"/>
      <c r="P435" s="61"/>
      <c r="Q435" s="61"/>
      <c r="R435" s="61">
        <v>519632</v>
      </c>
      <c r="S435" s="66" t="s">
        <v>825</v>
      </c>
    </row>
    <row r="436" spans="1:19">
      <c r="A436" s="61" t="s">
        <v>537</v>
      </c>
      <c r="B436" s="62">
        <v>45986</v>
      </c>
      <c r="C436" s="63" t="s">
        <v>1277</v>
      </c>
      <c r="D436" s="67"/>
      <c r="E436" s="67">
        <v>-90738</v>
      </c>
      <c r="F436" s="61" t="str">
        <f t="shared" si="6"/>
        <v>借</v>
      </c>
      <c r="G436" s="64">
        <f>SUM(D$6:E436)</f>
        <v>101280997</v>
      </c>
      <c r="H436" s="61" t="s">
        <v>606</v>
      </c>
      <c r="I436" s="61" t="s">
        <v>625</v>
      </c>
      <c r="J436" s="61" t="s">
        <v>114</v>
      </c>
      <c r="K436" s="64">
        <v>-90738</v>
      </c>
      <c r="L436" s="61"/>
      <c r="M436" s="65" t="s">
        <v>590</v>
      </c>
      <c r="N436" s="61"/>
      <c r="O436" s="61"/>
      <c r="P436" s="61"/>
      <c r="Q436" s="61"/>
      <c r="R436" s="61">
        <v>519632</v>
      </c>
      <c r="S436" s="66" t="s">
        <v>825</v>
      </c>
    </row>
    <row r="437" spans="1:19">
      <c r="A437" s="61" t="s">
        <v>537</v>
      </c>
      <c r="B437" s="62">
        <v>45987</v>
      </c>
      <c r="C437" s="63" t="s">
        <v>1279</v>
      </c>
      <c r="D437" s="67"/>
      <c r="E437" s="67">
        <v>-238192</v>
      </c>
      <c r="F437" s="61" t="str">
        <f t="shared" si="6"/>
        <v>借</v>
      </c>
      <c r="G437" s="64">
        <f>SUM(D$6:E437)</f>
        <v>101042805</v>
      </c>
      <c r="H437" s="61" t="s">
        <v>606</v>
      </c>
      <c r="I437" s="61" t="s">
        <v>625</v>
      </c>
      <c r="J437" s="61" t="s">
        <v>114</v>
      </c>
      <c r="K437" s="64">
        <v>-238192</v>
      </c>
      <c r="L437" s="61"/>
      <c r="M437" s="65" t="s">
        <v>590</v>
      </c>
      <c r="N437" s="61"/>
      <c r="O437" s="61"/>
      <c r="P437" s="61"/>
      <c r="Q437" s="61"/>
      <c r="R437" s="61">
        <v>519907</v>
      </c>
      <c r="S437" s="66" t="s">
        <v>825</v>
      </c>
    </row>
    <row r="438" spans="1:19">
      <c r="A438" s="61" t="s">
        <v>537</v>
      </c>
      <c r="B438" s="62">
        <v>45987</v>
      </c>
      <c r="C438" s="63" t="s">
        <v>1280</v>
      </c>
      <c r="D438" s="67">
        <v>11972</v>
      </c>
      <c r="E438" s="67"/>
      <c r="F438" s="61" t="str">
        <f t="shared" si="6"/>
        <v>借</v>
      </c>
      <c r="G438" s="64">
        <f>SUM(D$6:E438)</f>
        <v>101054777</v>
      </c>
      <c r="H438" s="61" t="s">
        <v>610</v>
      </c>
      <c r="I438" s="61" t="s">
        <v>620</v>
      </c>
      <c r="J438" s="61" t="s">
        <v>114</v>
      </c>
      <c r="K438" s="64">
        <v>11972</v>
      </c>
      <c r="L438" s="61"/>
      <c r="M438" s="65" t="s">
        <v>590</v>
      </c>
      <c r="N438" s="61"/>
      <c r="O438" s="61"/>
      <c r="P438" s="61"/>
      <c r="Q438" s="61"/>
      <c r="R438" s="61">
        <v>519907</v>
      </c>
      <c r="S438" s="66" t="s">
        <v>825</v>
      </c>
    </row>
    <row r="439" spans="1:19">
      <c r="A439" s="61" t="s">
        <v>537</v>
      </c>
      <c r="B439" s="62">
        <v>45988</v>
      </c>
      <c r="C439" s="63" t="s">
        <v>1282</v>
      </c>
      <c r="D439" s="67"/>
      <c r="E439" s="67">
        <v>-298685</v>
      </c>
      <c r="F439" s="61" t="str">
        <f t="shared" si="6"/>
        <v>借</v>
      </c>
      <c r="G439" s="64">
        <f>SUM(D$6:E439)</f>
        <v>100756092</v>
      </c>
      <c r="H439" s="61" t="s">
        <v>610</v>
      </c>
      <c r="I439" s="61" t="s">
        <v>625</v>
      </c>
      <c r="J439" s="61" t="s">
        <v>114</v>
      </c>
      <c r="K439" s="64">
        <v>-298685</v>
      </c>
      <c r="L439" s="61"/>
      <c r="M439" s="65" t="s">
        <v>590</v>
      </c>
      <c r="N439" s="61"/>
      <c r="O439" s="61"/>
      <c r="P439" s="61"/>
      <c r="Q439" s="61"/>
      <c r="R439" s="61">
        <v>520190</v>
      </c>
      <c r="S439" s="66" t="s">
        <v>825</v>
      </c>
    </row>
    <row r="440" spans="1:19">
      <c r="A440" s="61" t="s">
        <v>537</v>
      </c>
      <c r="B440" s="62">
        <v>45988</v>
      </c>
      <c r="C440" s="63" t="s">
        <v>1281</v>
      </c>
      <c r="D440" s="67"/>
      <c r="E440" s="67">
        <v>-294904</v>
      </c>
      <c r="F440" s="61" t="str">
        <f t="shared" si="6"/>
        <v>借</v>
      </c>
      <c r="G440" s="64">
        <f>SUM(D$6:E440)</f>
        <v>100461188</v>
      </c>
      <c r="H440" s="61" t="s">
        <v>606</v>
      </c>
      <c r="I440" s="61" t="s">
        <v>625</v>
      </c>
      <c r="J440" s="61" t="s">
        <v>114</v>
      </c>
      <c r="K440" s="64">
        <v>-294904</v>
      </c>
      <c r="L440" s="61"/>
      <c r="M440" s="65" t="s">
        <v>590</v>
      </c>
      <c r="N440" s="61"/>
      <c r="O440" s="61"/>
      <c r="P440" s="61"/>
      <c r="Q440" s="61"/>
      <c r="R440" s="61">
        <v>520190</v>
      </c>
      <c r="S440" s="66" t="s">
        <v>825</v>
      </c>
    </row>
    <row r="441" spans="1:19">
      <c r="A441" s="61" t="s">
        <v>537</v>
      </c>
      <c r="B441" s="62">
        <v>45989</v>
      </c>
      <c r="C441" s="63" t="s">
        <v>1285</v>
      </c>
      <c r="D441" s="67"/>
      <c r="E441" s="67">
        <v>-63825</v>
      </c>
      <c r="F441" s="61" t="str">
        <f t="shared" si="6"/>
        <v>借</v>
      </c>
      <c r="G441" s="64">
        <f>SUM(D$6:E441)</f>
        <v>100397363</v>
      </c>
      <c r="H441" s="61" t="s">
        <v>610</v>
      </c>
      <c r="I441" s="61" t="s">
        <v>1284</v>
      </c>
      <c r="J441" s="61" t="s">
        <v>114</v>
      </c>
      <c r="K441" s="64">
        <v>-63825</v>
      </c>
      <c r="L441" s="61"/>
      <c r="M441" s="65" t="s">
        <v>590</v>
      </c>
      <c r="N441" s="61"/>
      <c r="O441" s="61"/>
      <c r="P441" s="61"/>
      <c r="Q441" s="61"/>
      <c r="R441" s="61">
        <v>521606</v>
      </c>
      <c r="S441" s="66" t="s">
        <v>825</v>
      </c>
    </row>
    <row r="442" spans="1:19">
      <c r="A442" s="61" t="s">
        <v>537</v>
      </c>
      <c r="B442" s="62">
        <v>45989</v>
      </c>
      <c r="C442" s="63" t="s">
        <v>1283</v>
      </c>
      <c r="D442" s="67"/>
      <c r="E442" s="67">
        <v>-44022</v>
      </c>
      <c r="F442" s="61" t="str">
        <f t="shared" si="6"/>
        <v>借</v>
      </c>
      <c r="G442" s="64">
        <f>SUM(D$6:E442)</f>
        <v>100353341</v>
      </c>
      <c r="H442" s="61" t="s">
        <v>606</v>
      </c>
      <c r="I442" s="61" t="s">
        <v>1284</v>
      </c>
      <c r="J442" s="61" t="s">
        <v>114</v>
      </c>
      <c r="K442" s="64">
        <v>-44022</v>
      </c>
      <c r="L442" s="61"/>
      <c r="M442" s="65" t="s">
        <v>590</v>
      </c>
      <c r="N442" s="61"/>
      <c r="O442" s="61"/>
      <c r="P442" s="61"/>
      <c r="Q442" s="61"/>
      <c r="R442" s="61">
        <v>521606</v>
      </c>
      <c r="S442" s="66" t="s">
        <v>825</v>
      </c>
    </row>
    <row r="443" spans="1:19">
      <c r="A443" s="61" t="s">
        <v>537</v>
      </c>
      <c r="B443" s="62">
        <v>45989</v>
      </c>
      <c r="C443" s="63" t="s">
        <v>1288</v>
      </c>
      <c r="D443" s="67">
        <v>37164</v>
      </c>
      <c r="E443" s="67"/>
      <c r="F443" s="61" t="str">
        <f t="shared" si="6"/>
        <v>借</v>
      </c>
      <c r="G443" s="64">
        <f>SUM(D$6:E443)</f>
        <v>100390505</v>
      </c>
      <c r="H443" s="61" t="s">
        <v>606</v>
      </c>
      <c r="I443" s="61" t="s">
        <v>1284</v>
      </c>
      <c r="J443" s="61" t="s">
        <v>114</v>
      </c>
      <c r="K443" s="64">
        <v>37164</v>
      </c>
      <c r="L443" s="61"/>
      <c r="M443" s="65" t="s">
        <v>590</v>
      </c>
      <c r="N443" s="61"/>
      <c r="O443" s="61"/>
      <c r="P443" s="61"/>
      <c r="Q443" s="61"/>
      <c r="R443" s="61">
        <v>521606</v>
      </c>
      <c r="S443" s="66" t="s">
        <v>825</v>
      </c>
    </row>
    <row r="444" spans="1:19">
      <c r="A444" s="61" t="s">
        <v>537</v>
      </c>
      <c r="B444" s="62">
        <v>45989</v>
      </c>
      <c r="C444" s="63" t="s">
        <v>1286</v>
      </c>
      <c r="D444" s="67">
        <v>46373</v>
      </c>
      <c r="E444" s="67"/>
      <c r="F444" s="61" t="str">
        <f t="shared" si="6"/>
        <v>借</v>
      </c>
      <c r="G444" s="64">
        <f>SUM(D$6:E444)</f>
        <v>100436878</v>
      </c>
      <c r="H444" s="61" t="s">
        <v>606</v>
      </c>
      <c r="I444" s="61" t="s">
        <v>620</v>
      </c>
      <c r="J444" s="61" t="s">
        <v>114</v>
      </c>
      <c r="K444" s="64">
        <v>46373</v>
      </c>
      <c r="L444" s="61"/>
      <c r="M444" s="65" t="s">
        <v>590</v>
      </c>
      <c r="N444" s="61"/>
      <c r="O444" s="61"/>
      <c r="P444" s="61"/>
      <c r="Q444" s="61"/>
      <c r="R444" s="61">
        <v>520452</v>
      </c>
      <c r="S444" s="66" t="s">
        <v>825</v>
      </c>
    </row>
    <row r="445" spans="1:19">
      <c r="A445" s="61" t="s">
        <v>537</v>
      </c>
      <c r="B445" s="62">
        <v>45989</v>
      </c>
      <c r="C445" s="63" t="s">
        <v>1289</v>
      </c>
      <c r="D445" s="67">
        <v>68465</v>
      </c>
      <c r="E445" s="67"/>
      <c r="F445" s="61" t="str">
        <f t="shared" si="6"/>
        <v>借</v>
      </c>
      <c r="G445" s="64">
        <f>SUM(D$6:E445)</f>
        <v>100505343</v>
      </c>
      <c r="H445" s="61" t="s">
        <v>610</v>
      </c>
      <c r="I445" s="61" t="s">
        <v>1284</v>
      </c>
      <c r="J445" s="61" t="s">
        <v>114</v>
      </c>
      <c r="K445" s="64">
        <v>68465</v>
      </c>
      <c r="L445" s="61"/>
      <c r="M445" s="65" t="s">
        <v>590</v>
      </c>
      <c r="N445" s="61"/>
      <c r="O445" s="61"/>
      <c r="P445" s="61"/>
      <c r="Q445" s="61"/>
      <c r="R445" s="61">
        <v>521606</v>
      </c>
      <c r="S445" s="66" t="s">
        <v>825</v>
      </c>
    </row>
    <row r="446" spans="1:19">
      <c r="A446" s="61" t="s">
        <v>537</v>
      </c>
      <c r="B446" s="62">
        <v>45989</v>
      </c>
      <c r="C446" s="63" t="s">
        <v>1287</v>
      </c>
      <c r="D446" s="67">
        <v>200912</v>
      </c>
      <c r="E446" s="67"/>
      <c r="F446" s="61" t="str">
        <f t="shared" si="6"/>
        <v>借</v>
      </c>
      <c r="G446" s="64">
        <f>SUM(D$6:E446)</f>
        <v>100706255</v>
      </c>
      <c r="H446" s="61" t="s">
        <v>610</v>
      </c>
      <c r="I446" s="61" t="s">
        <v>620</v>
      </c>
      <c r="J446" s="61" t="s">
        <v>114</v>
      </c>
      <c r="K446" s="64">
        <v>200912</v>
      </c>
      <c r="L446" s="61"/>
      <c r="M446" s="65" t="s">
        <v>590</v>
      </c>
      <c r="N446" s="61"/>
      <c r="O446" s="61"/>
      <c r="P446" s="61"/>
      <c r="Q446" s="61"/>
      <c r="R446" s="61">
        <v>520452</v>
      </c>
      <c r="S446" s="66" t="s">
        <v>825</v>
      </c>
    </row>
    <row r="447" spans="1:19">
      <c r="A447" s="61" t="s">
        <v>537</v>
      </c>
      <c r="B447" s="62">
        <v>45993</v>
      </c>
      <c r="C447" s="63" t="s">
        <v>1291</v>
      </c>
      <c r="D447" s="67">
        <v>295263</v>
      </c>
      <c r="E447" s="67"/>
      <c r="F447" s="61" t="str">
        <f t="shared" si="6"/>
        <v>借</v>
      </c>
      <c r="G447" s="64">
        <f>SUM(D$6:E447)</f>
        <v>101001518</v>
      </c>
      <c r="H447" s="61" t="s">
        <v>610</v>
      </c>
      <c r="I447" s="61" t="s">
        <v>620</v>
      </c>
      <c r="J447" s="61" t="s">
        <v>114</v>
      </c>
      <c r="K447" s="64">
        <v>295263</v>
      </c>
      <c r="L447" s="61"/>
      <c r="M447" s="65" t="s">
        <v>590</v>
      </c>
      <c r="N447" s="61"/>
      <c r="O447" s="61"/>
      <c r="P447" s="61"/>
      <c r="Q447" s="61"/>
      <c r="R447" s="61">
        <v>521249</v>
      </c>
      <c r="S447" s="66" t="s">
        <v>825</v>
      </c>
    </row>
    <row r="448" spans="1:19">
      <c r="A448" s="61" t="s">
        <v>537</v>
      </c>
      <c r="B448" s="62">
        <v>45993</v>
      </c>
      <c r="C448" s="63" t="s">
        <v>1290</v>
      </c>
      <c r="D448" s="67">
        <v>297085</v>
      </c>
      <c r="E448" s="67"/>
      <c r="F448" s="61" t="str">
        <f t="shared" si="6"/>
        <v>借</v>
      </c>
      <c r="G448" s="64">
        <f>SUM(D$6:E448)</f>
        <v>101298603</v>
      </c>
      <c r="H448" s="61" t="s">
        <v>606</v>
      </c>
      <c r="I448" s="61" t="s">
        <v>620</v>
      </c>
      <c r="J448" s="61" t="s">
        <v>114</v>
      </c>
      <c r="K448" s="64">
        <v>297085</v>
      </c>
      <c r="L448" s="61"/>
      <c r="M448" s="65" t="s">
        <v>590</v>
      </c>
      <c r="N448" s="61"/>
      <c r="O448" s="61"/>
      <c r="P448" s="61"/>
      <c r="Q448" s="61"/>
      <c r="R448" s="61">
        <v>521249</v>
      </c>
      <c r="S448" s="66" t="s">
        <v>825</v>
      </c>
    </row>
    <row r="449" spans="1:19">
      <c r="A449" s="61" t="s">
        <v>537</v>
      </c>
      <c r="B449" s="62">
        <v>45994</v>
      </c>
      <c r="C449" s="63" t="s">
        <v>1293</v>
      </c>
      <c r="D449" s="67"/>
      <c r="E449" s="67">
        <v>-511745</v>
      </c>
      <c r="F449" s="61" t="str">
        <f t="shared" si="6"/>
        <v>借</v>
      </c>
      <c r="G449" s="64">
        <f>SUM(D$6:E449)</f>
        <v>100786858</v>
      </c>
      <c r="H449" s="61" t="s">
        <v>610</v>
      </c>
      <c r="I449" s="61" t="s">
        <v>625</v>
      </c>
      <c r="J449" s="61" t="s">
        <v>114</v>
      </c>
      <c r="K449" s="64">
        <v>-511745</v>
      </c>
      <c r="L449" s="61"/>
      <c r="M449" s="65" t="s">
        <v>590</v>
      </c>
      <c r="N449" s="61"/>
      <c r="O449" s="61"/>
      <c r="P449" s="61"/>
      <c r="Q449" s="61"/>
      <c r="R449" s="61">
        <v>521644</v>
      </c>
      <c r="S449" s="66" t="s">
        <v>825</v>
      </c>
    </row>
    <row r="450" spans="1:19">
      <c r="A450" s="61" t="s">
        <v>537</v>
      </c>
      <c r="B450" s="62">
        <v>45994</v>
      </c>
      <c r="C450" s="63" t="s">
        <v>1292</v>
      </c>
      <c r="D450" s="67">
        <v>77288</v>
      </c>
      <c r="E450" s="67"/>
      <c r="F450" s="61" t="str">
        <f t="shared" si="6"/>
        <v>借</v>
      </c>
      <c r="G450" s="64">
        <f>SUM(D$6:E450)</f>
        <v>100864146</v>
      </c>
      <c r="H450" s="61" t="s">
        <v>606</v>
      </c>
      <c r="I450" s="61" t="s">
        <v>620</v>
      </c>
      <c r="J450" s="61" t="s">
        <v>114</v>
      </c>
      <c r="K450" s="64">
        <v>77288</v>
      </c>
      <c r="L450" s="61"/>
      <c r="M450" s="65" t="s">
        <v>590</v>
      </c>
      <c r="N450" s="61"/>
      <c r="O450" s="61"/>
      <c r="P450" s="61"/>
      <c r="Q450" s="61"/>
      <c r="R450" s="61">
        <v>521644</v>
      </c>
      <c r="S450" s="66" t="s">
        <v>825</v>
      </c>
    </row>
    <row r="451" spans="1:19">
      <c r="A451" s="61" t="s">
        <v>537</v>
      </c>
      <c r="B451" s="62">
        <v>45995</v>
      </c>
      <c r="C451" s="63" t="s">
        <v>1296</v>
      </c>
      <c r="D451" s="67"/>
      <c r="E451" s="67">
        <v>-103416</v>
      </c>
      <c r="F451" s="61" t="str">
        <f t="shared" si="6"/>
        <v>借</v>
      </c>
      <c r="G451" s="64">
        <f>SUM(D$6:E451)</f>
        <v>100760730</v>
      </c>
      <c r="H451" s="61" t="s">
        <v>610</v>
      </c>
      <c r="I451" s="61" t="s">
        <v>625</v>
      </c>
      <c r="J451" s="61" t="s">
        <v>114</v>
      </c>
      <c r="K451" s="64">
        <v>-103416</v>
      </c>
      <c r="L451" s="61"/>
      <c r="M451" s="65" t="s">
        <v>590</v>
      </c>
      <c r="N451" s="61"/>
      <c r="O451" s="61"/>
      <c r="P451" s="61"/>
      <c r="Q451" s="61"/>
      <c r="R451" s="61">
        <v>522035</v>
      </c>
      <c r="S451" s="66" t="s">
        <v>825</v>
      </c>
    </row>
    <row r="452" spans="1:19">
      <c r="A452" s="61" t="s">
        <v>537</v>
      </c>
      <c r="B452" s="62">
        <v>45995</v>
      </c>
      <c r="C452" s="63" t="s">
        <v>1297</v>
      </c>
      <c r="D452" s="67">
        <v>113190</v>
      </c>
      <c r="E452" s="67"/>
      <c r="F452" s="61" t="str">
        <f t="shared" si="6"/>
        <v>借</v>
      </c>
      <c r="G452" s="64">
        <f>SUM(D$6:E452)</f>
        <v>100873920</v>
      </c>
      <c r="H452" s="61" t="s">
        <v>606</v>
      </c>
      <c r="I452" s="61" t="s">
        <v>620</v>
      </c>
      <c r="J452" s="61" t="s">
        <v>114</v>
      </c>
      <c r="K452" s="64">
        <v>113190</v>
      </c>
      <c r="L452" s="61"/>
      <c r="M452" s="65" t="s">
        <v>590</v>
      </c>
      <c r="N452" s="61"/>
      <c r="O452" s="61"/>
      <c r="P452" s="61"/>
      <c r="Q452" s="61"/>
      <c r="R452" s="61">
        <v>522035</v>
      </c>
      <c r="S452" s="66" t="s">
        <v>825</v>
      </c>
    </row>
    <row r="453" spans="1:19">
      <c r="A453" s="61" t="s">
        <v>537</v>
      </c>
      <c r="B453" s="62">
        <v>45999</v>
      </c>
      <c r="C453" s="63" t="s">
        <v>1298</v>
      </c>
      <c r="D453" s="67"/>
      <c r="E453" s="67">
        <v>-11593</v>
      </c>
      <c r="F453" s="61" t="str">
        <f t="shared" si="6"/>
        <v>借</v>
      </c>
      <c r="G453" s="64">
        <f>SUM(D$6:E453)</f>
        <v>100862327</v>
      </c>
      <c r="H453" s="61" t="s">
        <v>606</v>
      </c>
      <c r="I453" s="61" t="s">
        <v>625</v>
      </c>
      <c r="J453" s="61" t="s">
        <v>114</v>
      </c>
      <c r="K453" s="64">
        <v>-11593</v>
      </c>
      <c r="L453" s="61"/>
      <c r="M453" s="65" t="s">
        <v>590</v>
      </c>
      <c r="N453" s="61"/>
      <c r="O453" s="61"/>
      <c r="P453" s="61"/>
      <c r="Q453" s="61"/>
      <c r="R453" s="61">
        <v>522614</v>
      </c>
      <c r="S453" s="66" t="s">
        <v>825</v>
      </c>
    </row>
    <row r="454" spans="1:19">
      <c r="A454" s="61" t="s">
        <v>537</v>
      </c>
      <c r="B454" s="62">
        <v>46000</v>
      </c>
      <c r="C454" s="63" t="s">
        <v>1299</v>
      </c>
      <c r="D454" s="67">
        <v>53354</v>
      </c>
      <c r="E454" s="67"/>
      <c r="F454" s="61" t="str">
        <f t="shared" si="6"/>
        <v>借</v>
      </c>
      <c r="G454" s="64">
        <f>SUM(D$6:E454)</f>
        <v>100915681</v>
      </c>
      <c r="H454" s="61" t="s">
        <v>610</v>
      </c>
      <c r="I454" s="61" t="s">
        <v>620</v>
      </c>
      <c r="J454" s="61" t="s">
        <v>114</v>
      </c>
      <c r="K454" s="64">
        <v>53354</v>
      </c>
      <c r="L454" s="61"/>
      <c r="M454" s="65" t="s">
        <v>590</v>
      </c>
      <c r="N454" s="61"/>
      <c r="O454" s="61"/>
      <c r="P454" s="61"/>
      <c r="Q454" s="61"/>
      <c r="R454" s="61">
        <v>523066</v>
      </c>
      <c r="S454" s="66" t="s">
        <v>825</v>
      </c>
    </row>
    <row r="455" spans="1:19">
      <c r="A455" s="61" t="s">
        <v>537</v>
      </c>
      <c r="B455" s="62">
        <v>46001</v>
      </c>
      <c r="C455" s="63" t="s">
        <v>1308</v>
      </c>
      <c r="D455" s="67"/>
      <c r="E455" s="67">
        <v>-2000000</v>
      </c>
      <c r="F455" s="61" t="str">
        <f t="shared" ref="F455:F518" si="7">IF(G455&gt;0,"借","貸")</f>
        <v>借</v>
      </c>
      <c r="G455" s="64">
        <f>SUM(D$6:E455)</f>
        <v>98915681</v>
      </c>
      <c r="H455" s="61"/>
      <c r="I455" s="61" t="s">
        <v>597</v>
      </c>
      <c r="J455" s="61" t="s">
        <v>114</v>
      </c>
      <c r="K455" s="64">
        <v>-2000000</v>
      </c>
      <c r="L455" s="61" t="s">
        <v>549</v>
      </c>
      <c r="M455" s="65" t="s">
        <v>557</v>
      </c>
      <c r="N455" s="61"/>
      <c r="O455" s="61"/>
      <c r="P455" s="61"/>
      <c r="Q455" s="61"/>
      <c r="R455" s="61">
        <v>523916</v>
      </c>
      <c r="S455" s="66" t="s">
        <v>845</v>
      </c>
    </row>
    <row r="456" spans="1:19">
      <c r="A456" s="61" t="s">
        <v>537</v>
      </c>
      <c r="B456" s="62">
        <v>46001</v>
      </c>
      <c r="C456" s="63" t="s">
        <v>1301</v>
      </c>
      <c r="D456" s="67"/>
      <c r="E456" s="67">
        <v>-555575</v>
      </c>
      <c r="F456" s="61" t="str">
        <f t="shared" si="7"/>
        <v>借</v>
      </c>
      <c r="G456" s="64">
        <f>SUM(D$6:E456)</f>
        <v>98360106</v>
      </c>
      <c r="H456" s="61" t="s">
        <v>610</v>
      </c>
      <c r="I456" s="61" t="s">
        <v>625</v>
      </c>
      <c r="J456" s="61" t="s">
        <v>114</v>
      </c>
      <c r="K456" s="64">
        <v>-555575</v>
      </c>
      <c r="L456" s="61"/>
      <c r="M456" s="65" t="s">
        <v>590</v>
      </c>
      <c r="N456" s="61"/>
      <c r="O456" s="61"/>
      <c r="P456" s="61"/>
      <c r="Q456" s="61"/>
      <c r="R456" s="61">
        <v>523055</v>
      </c>
      <c r="S456" s="66" t="s">
        <v>825</v>
      </c>
    </row>
    <row r="457" spans="1:19">
      <c r="A457" s="61" t="s">
        <v>537</v>
      </c>
      <c r="B457" s="62">
        <v>46001</v>
      </c>
      <c r="C457" s="63" t="s">
        <v>1300</v>
      </c>
      <c r="D457" s="67">
        <v>133882</v>
      </c>
      <c r="E457" s="67"/>
      <c r="F457" s="61" t="str">
        <f t="shared" si="7"/>
        <v>借</v>
      </c>
      <c r="G457" s="64">
        <f>SUM(D$6:E457)</f>
        <v>98493988</v>
      </c>
      <c r="H457" s="61" t="s">
        <v>606</v>
      </c>
      <c r="I457" s="61" t="s">
        <v>620</v>
      </c>
      <c r="J457" s="61" t="s">
        <v>114</v>
      </c>
      <c r="K457" s="64">
        <v>133882</v>
      </c>
      <c r="L457" s="61"/>
      <c r="M457" s="65" t="s">
        <v>590</v>
      </c>
      <c r="N457" s="61"/>
      <c r="O457" s="61"/>
      <c r="P457" s="61"/>
      <c r="Q457" s="61"/>
      <c r="R457" s="61">
        <v>523055</v>
      </c>
      <c r="S457" s="66" t="s">
        <v>825</v>
      </c>
    </row>
    <row r="458" spans="1:19">
      <c r="A458" s="61" t="s">
        <v>537</v>
      </c>
      <c r="B458" s="62">
        <v>46002</v>
      </c>
      <c r="C458" s="63" t="s">
        <v>1309</v>
      </c>
      <c r="D458" s="67">
        <v>134830</v>
      </c>
      <c r="E458" s="67"/>
      <c r="F458" s="61" t="str">
        <f t="shared" si="7"/>
        <v>借</v>
      </c>
      <c r="G458" s="64">
        <f>SUM(D$6:E458)</f>
        <v>98628818</v>
      </c>
      <c r="H458" s="61" t="s">
        <v>606</v>
      </c>
      <c r="I458" s="61" t="s">
        <v>620</v>
      </c>
      <c r="J458" s="61" t="s">
        <v>114</v>
      </c>
      <c r="K458" s="64">
        <v>134830</v>
      </c>
      <c r="L458" s="61"/>
      <c r="M458" s="65" t="s">
        <v>590</v>
      </c>
      <c r="N458" s="61"/>
      <c r="O458" s="61"/>
      <c r="P458" s="61"/>
      <c r="Q458" s="61"/>
      <c r="R458" s="61">
        <v>523282</v>
      </c>
      <c r="S458" s="66" t="s">
        <v>825</v>
      </c>
    </row>
    <row r="459" spans="1:19">
      <c r="A459" s="61" t="s">
        <v>537</v>
      </c>
      <c r="B459" s="62">
        <v>46002</v>
      </c>
      <c r="C459" s="63" t="s">
        <v>1310</v>
      </c>
      <c r="D459" s="67">
        <v>378062</v>
      </c>
      <c r="E459" s="67"/>
      <c r="F459" s="61" t="str">
        <f t="shared" si="7"/>
        <v>借</v>
      </c>
      <c r="G459" s="64">
        <f>SUM(D$6:E459)</f>
        <v>99006880</v>
      </c>
      <c r="H459" s="61" t="s">
        <v>610</v>
      </c>
      <c r="I459" s="61" t="s">
        <v>620</v>
      </c>
      <c r="J459" s="61" t="s">
        <v>114</v>
      </c>
      <c r="K459" s="64">
        <v>378062</v>
      </c>
      <c r="L459" s="61"/>
      <c r="M459" s="65" t="s">
        <v>590</v>
      </c>
      <c r="N459" s="61"/>
      <c r="O459" s="61"/>
      <c r="P459" s="61"/>
      <c r="Q459" s="61"/>
      <c r="R459" s="61">
        <v>523282</v>
      </c>
      <c r="S459" s="66" t="s">
        <v>825</v>
      </c>
    </row>
    <row r="460" spans="1:19">
      <c r="A460" s="61" t="s">
        <v>537</v>
      </c>
      <c r="B460" s="62">
        <v>46003</v>
      </c>
      <c r="C460" s="63" t="s">
        <v>1311</v>
      </c>
      <c r="D460" s="67"/>
      <c r="E460" s="67">
        <v>-428971</v>
      </c>
      <c r="F460" s="61" t="str">
        <f t="shared" si="7"/>
        <v>借</v>
      </c>
      <c r="G460" s="64">
        <f>SUM(D$6:E460)</f>
        <v>98577909</v>
      </c>
      <c r="H460" s="61" t="s">
        <v>610</v>
      </c>
      <c r="I460" s="61" t="s">
        <v>625</v>
      </c>
      <c r="J460" s="61" t="s">
        <v>114</v>
      </c>
      <c r="K460" s="64">
        <v>-428971</v>
      </c>
      <c r="L460" s="61"/>
      <c r="M460" s="65" t="s">
        <v>590</v>
      </c>
      <c r="N460" s="61"/>
      <c r="O460" s="61"/>
      <c r="P460" s="61"/>
      <c r="Q460" s="61"/>
      <c r="R460" s="61">
        <v>523436</v>
      </c>
      <c r="S460" s="66" t="s">
        <v>825</v>
      </c>
    </row>
    <row r="461" spans="1:19">
      <c r="A461" s="61" t="s">
        <v>537</v>
      </c>
      <c r="B461" s="62">
        <v>46006</v>
      </c>
      <c r="C461" s="63" t="s">
        <v>1313</v>
      </c>
      <c r="D461" s="67">
        <v>62180</v>
      </c>
      <c r="E461" s="67"/>
      <c r="F461" s="61" t="str">
        <f t="shared" si="7"/>
        <v>借</v>
      </c>
      <c r="G461" s="64">
        <f>SUM(D$6:E461)</f>
        <v>98640089</v>
      </c>
      <c r="H461" s="61" t="s">
        <v>610</v>
      </c>
      <c r="I461" s="61" t="s">
        <v>620</v>
      </c>
      <c r="J461" s="61" t="s">
        <v>114</v>
      </c>
      <c r="K461" s="64">
        <v>62180</v>
      </c>
      <c r="L461" s="61"/>
      <c r="M461" s="65" t="s">
        <v>590</v>
      </c>
      <c r="N461" s="61"/>
      <c r="O461" s="61"/>
      <c r="P461" s="61"/>
      <c r="Q461" s="61"/>
      <c r="R461" s="61">
        <v>523659</v>
      </c>
      <c r="S461" s="66" t="s">
        <v>825</v>
      </c>
    </row>
    <row r="462" spans="1:19">
      <c r="A462" s="61" t="s">
        <v>537</v>
      </c>
      <c r="B462" s="62">
        <v>46006</v>
      </c>
      <c r="C462" s="63" t="s">
        <v>1312</v>
      </c>
      <c r="D462" s="67">
        <v>245027</v>
      </c>
      <c r="E462" s="67"/>
      <c r="F462" s="61" t="str">
        <f t="shared" si="7"/>
        <v>借</v>
      </c>
      <c r="G462" s="64">
        <f>SUM(D$6:E462)</f>
        <v>98885116</v>
      </c>
      <c r="H462" s="61" t="s">
        <v>606</v>
      </c>
      <c r="I462" s="61" t="s">
        <v>620</v>
      </c>
      <c r="J462" s="61" t="s">
        <v>114</v>
      </c>
      <c r="K462" s="64">
        <v>245027</v>
      </c>
      <c r="L462" s="61"/>
      <c r="M462" s="65" t="s">
        <v>590</v>
      </c>
      <c r="N462" s="61"/>
      <c r="O462" s="61"/>
      <c r="P462" s="61"/>
      <c r="Q462" s="61"/>
      <c r="R462" s="61">
        <v>523659</v>
      </c>
      <c r="S462" s="66" t="s">
        <v>825</v>
      </c>
    </row>
    <row r="463" spans="1:19">
      <c r="A463" s="61" t="s">
        <v>537</v>
      </c>
      <c r="B463" s="62">
        <v>46007</v>
      </c>
      <c r="C463" s="63" t="s">
        <v>1338</v>
      </c>
      <c r="D463" s="67"/>
      <c r="E463" s="67">
        <v>-243582</v>
      </c>
      <c r="F463" s="61" t="str">
        <f t="shared" si="7"/>
        <v>借</v>
      </c>
      <c r="G463" s="64">
        <f>SUM(D$6:E463)</f>
        <v>98641534</v>
      </c>
      <c r="H463" s="61" t="s">
        <v>610</v>
      </c>
      <c r="I463" s="61" t="s">
        <v>625</v>
      </c>
      <c r="J463" s="61" t="s">
        <v>114</v>
      </c>
      <c r="K463" s="64">
        <v>-243582</v>
      </c>
      <c r="L463" s="61"/>
      <c r="M463" s="65" t="s">
        <v>590</v>
      </c>
      <c r="N463" s="61"/>
      <c r="O463" s="61"/>
      <c r="P463" s="61"/>
      <c r="Q463" s="61"/>
      <c r="R463" s="61">
        <v>523929</v>
      </c>
      <c r="S463" s="66" t="s">
        <v>825</v>
      </c>
    </row>
    <row r="464" spans="1:19">
      <c r="A464" s="61" t="s">
        <v>537</v>
      </c>
      <c r="B464" s="62">
        <v>46007</v>
      </c>
      <c r="C464" s="63" t="s">
        <v>1337</v>
      </c>
      <c r="D464" s="67">
        <v>792822</v>
      </c>
      <c r="E464" s="67"/>
      <c r="F464" s="61" t="str">
        <f t="shared" si="7"/>
        <v>借</v>
      </c>
      <c r="G464" s="64">
        <f>SUM(D$6:E464)</f>
        <v>99434356</v>
      </c>
      <c r="H464" s="61" t="s">
        <v>606</v>
      </c>
      <c r="I464" s="61" t="s">
        <v>620</v>
      </c>
      <c r="J464" s="61" t="s">
        <v>114</v>
      </c>
      <c r="K464" s="64">
        <v>792822</v>
      </c>
      <c r="L464" s="61"/>
      <c r="M464" s="65" t="s">
        <v>590</v>
      </c>
      <c r="N464" s="61"/>
      <c r="O464" s="61"/>
      <c r="P464" s="61"/>
      <c r="Q464" s="61"/>
      <c r="R464" s="61">
        <v>523929</v>
      </c>
      <c r="S464" s="66" t="s">
        <v>825</v>
      </c>
    </row>
    <row r="465" spans="1:19">
      <c r="A465" s="61" t="s">
        <v>537</v>
      </c>
      <c r="B465" s="62">
        <v>46009</v>
      </c>
      <c r="C465" s="63" t="s">
        <v>1339</v>
      </c>
      <c r="D465" s="67"/>
      <c r="E465" s="67">
        <v>-8675</v>
      </c>
      <c r="F465" s="61" t="str">
        <f t="shared" si="7"/>
        <v>借</v>
      </c>
      <c r="G465" s="64">
        <f>SUM(D$6:E465)</f>
        <v>99425681</v>
      </c>
      <c r="H465" s="61" t="s">
        <v>606</v>
      </c>
      <c r="I465" s="61" t="s">
        <v>625</v>
      </c>
      <c r="J465" s="61" t="s">
        <v>114</v>
      </c>
      <c r="K465" s="64">
        <v>-8675</v>
      </c>
      <c r="L465" s="61"/>
      <c r="M465" s="65" t="s">
        <v>590</v>
      </c>
      <c r="N465" s="61"/>
      <c r="O465" s="61"/>
      <c r="P465" s="61"/>
      <c r="Q465" s="61"/>
      <c r="R465" s="61">
        <v>524788</v>
      </c>
      <c r="S465" s="66" t="s">
        <v>825</v>
      </c>
    </row>
    <row r="466" spans="1:19">
      <c r="A466" s="61" t="s">
        <v>537</v>
      </c>
      <c r="B466" s="62">
        <v>46009</v>
      </c>
      <c r="C466" s="63" t="s">
        <v>1340</v>
      </c>
      <c r="D466" s="67">
        <v>183945</v>
      </c>
      <c r="E466" s="67"/>
      <c r="F466" s="61" t="str">
        <f t="shared" si="7"/>
        <v>借</v>
      </c>
      <c r="G466" s="64">
        <f>SUM(D$6:E466)</f>
        <v>99609626</v>
      </c>
      <c r="H466" s="61" t="s">
        <v>610</v>
      </c>
      <c r="I466" s="61" t="s">
        <v>620</v>
      </c>
      <c r="J466" s="61" t="s">
        <v>114</v>
      </c>
      <c r="K466" s="64">
        <v>183945</v>
      </c>
      <c r="L466" s="61"/>
      <c r="M466" s="65" t="s">
        <v>590</v>
      </c>
      <c r="N466" s="61"/>
      <c r="O466" s="61"/>
      <c r="P466" s="61"/>
      <c r="Q466" s="61"/>
      <c r="R466" s="61">
        <v>524788</v>
      </c>
      <c r="S466" s="66" t="s">
        <v>825</v>
      </c>
    </row>
    <row r="467" spans="1:19">
      <c r="A467" s="61" t="s">
        <v>537</v>
      </c>
      <c r="B467" s="62">
        <v>46010</v>
      </c>
      <c r="C467" s="63" t="s">
        <v>1344</v>
      </c>
      <c r="D467" s="67"/>
      <c r="E467" s="67">
        <v>-90750</v>
      </c>
      <c r="F467" s="61" t="str">
        <f t="shared" si="7"/>
        <v>借</v>
      </c>
      <c r="G467" s="64">
        <f>SUM(D$6:E467)</f>
        <v>99518876</v>
      </c>
      <c r="H467" s="61" t="s">
        <v>606</v>
      </c>
      <c r="I467" s="61" t="s">
        <v>625</v>
      </c>
      <c r="J467" s="61" t="s">
        <v>114</v>
      </c>
      <c r="K467" s="64">
        <v>-90750</v>
      </c>
      <c r="L467" s="61"/>
      <c r="M467" s="65" t="s">
        <v>590</v>
      </c>
      <c r="N467" s="61"/>
      <c r="O467" s="61"/>
      <c r="P467" s="61"/>
      <c r="Q467" s="61"/>
      <c r="R467" s="61">
        <v>525337</v>
      </c>
      <c r="S467" s="66" t="s">
        <v>825</v>
      </c>
    </row>
    <row r="468" spans="1:19">
      <c r="A468" s="61" t="s">
        <v>537</v>
      </c>
      <c r="B468" s="62">
        <v>46010</v>
      </c>
      <c r="C468" s="63" t="s">
        <v>1345</v>
      </c>
      <c r="D468" s="67"/>
      <c r="E468" s="67">
        <v>-86699</v>
      </c>
      <c r="F468" s="61" t="str">
        <f t="shared" si="7"/>
        <v>借</v>
      </c>
      <c r="G468" s="64">
        <f>SUM(D$6:E468)</f>
        <v>99432177</v>
      </c>
      <c r="H468" s="61" t="s">
        <v>610</v>
      </c>
      <c r="I468" s="61" t="s">
        <v>625</v>
      </c>
      <c r="J468" s="61" t="s">
        <v>114</v>
      </c>
      <c r="K468" s="64">
        <v>-86699</v>
      </c>
      <c r="L468" s="61"/>
      <c r="M468" s="65" t="s">
        <v>590</v>
      </c>
      <c r="N468" s="61"/>
      <c r="O468" s="61"/>
      <c r="P468" s="61"/>
      <c r="Q468" s="61"/>
      <c r="R468" s="61">
        <v>525337</v>
      </c>
      <c r="S468" s="66" t="s">
        <v>825</v>
      </c>
    </row>
    <row r="469" spans="1:19">
      <c r="A469" s="61" t="s">
        <v>537</v>
      </c>
      <c r="B469" s="62">
        <v>46013</v>
      </c>
      <c r="C469" s="63" t="s">
        <v>1386</v>
      </c>
      <c r="D469" s="67"/>
      <c r="E469" s="67">
        <v>-242335</v>
      </c>
      <c r="F469" s="61" t="str">
        <f t="shared" si="7"/>
        <v>借</v>
      </c>
      <c r="G469" s="64">
        <f>SUM(D$6:E469)</f>
        <v>99189842</v>
      </c>
      <c r="H469" s="61" t="s">
        <v>610</v>
      </c>
      <c r="I469" s="61" t="s">
        <v>625</v>
      </c>
      <c r="J469" s="61" t="s">
        <v>114</v>
      </c>
      <c r="K469" s="64">
        <v>-242335</v>
      </c>
      <c r="L469" s="61"/>
      <c r="M469" s="65" t="s">
        <v>590</v>
      </c>
      <c r="N469" s="61"/>
      <c r="O469" s="61"/>
      <c r="P469" s="61"/>
      <c r="Q469" s="61"/>
      <c r="R469" s="61">
        <v>525444</v>
      </c>
      <c r="S469" s="66" t="s">
        <v>825</v>
      </c>
    </row>
    <row r="470" spans="1:19">
      <c r="A470" s="61" t="s">
        <v>537</v>
      </c>
      <c r="B470" s="62">
        <v>46013</v>
      </c>
      <c r="C470" s="63" t="s">
        <v>1385</v>
      </c>
      <c r="D470" s="67"/>
      <c r="E470" s="67">
        <v>-100225</v>
      </c>
      <c r="F470" s="61" t="str">
        <f t="shared" si="7"/>
        <v>借</v>
      </c>
      <c r="G470" s="64">
        <f>SUM(D$6:E470)</f>
        <v>99089617</v>
      </c>
      <c r="H470" s="61" t="s">
        <v>606</v>
      </c>
      <c r="I470" s="61" t="s">
        <v>625</v>
      </c>
      <c r="J470" s="61" t="s">
        <v>114</v>
      </c>
      <c r="K470" s="64">
        <v>-100225</v>
      </c>
      <c r="L470" s="61"/>
      <c r="M470" s="65" t="s">
        <v>590</v>
      </c>
      <c r="N470" s="61"/>
      <c r="O470" s="61"/>
      <c r="P470" s="61"/>
      <c r="Q470" s="61"/>
      <c r="R470" s="61">
        <v>525444</v>
      </c>
      <c r="S470" s="66" t="s">
        <v>825</v>
      </c>
    </row>
    <row r="471" spans="1:19">
      <c r="A471" s="61" t="s">
        <v>537</v>
      </c>
      <c r="B471" s="62">
        <v>46014</v>
      </c>
      <c r="C471" s="63" t="s">
        <v>1387</v>
      </c>
      <c r="D471" s="67"/>
      <c r="E471" s="67">
        <v>-178384</v>
      </c>
      <c r="F471" s="61" t="str">
        <f t="shared" si="7"/>
        <v>借</v>
      </c>
      <c r="G471" s="64">
        <f>SUM(D$6:E471)</f>
        <v>98911233</v>
      </c>
      <c r="H471" s="61" t="s">
        <v>606</v>
      </c>
      <c r="I471" s="61" t="s">
        <v>625</v>
      </c>
      <c r="J471" s="61" t="s">
        <v>114</v>
      </c>
      <c r="K471" s="64">
        <v>-178384</v>
      </c>
      <c r="L471" s="61"/>
      <c r="M471" s="65" t="s">
        <v>590</v>
      </c>
      <c r="N471" s="61"/>
      <c r="O471" s="61"/>
      <c r="P471" s="61"/>
      <c r="Q471" s="61"/>
      <c r="R471" s="61">
        <v>526140</v>
      </c>
      <c r="S471" s="66" t="s">
        <v>825</v>
      </c>
    </row>
    <row r="472" spans="1:19">
      <c r="A472" s="61" t="s">
        <v>537</v>
      </c>
      <c r="B472" s="62">
        <v>46014</v>
      </c>
      <c r="C472" s="63" t="s">
        <v>1388</v>
      </c>
      <c r="D472" s="67">
        <v>429519</v>
      </c>
      <c r="E472" s="67"/>
      <c r="F472" s="61" t="str">
        <f t="shared" si="7"/>
        <v>借</v>
      </c>
      <c r="G472" s="64">
        <f>SUM(D$6:E472)</f>
        <v>99340752</v>
      </c>
      <c r="H472" s="61" t="s">
        <v>610</v>
      </c>
      <c r="I472" s="61" t="s">
        <v>620</v>
      </c>
      <c r="J472" s="61" t="s">
        <v>114</v>
      </c>
      <c r="K472" s="64">
        <v>429519</v>
      </c>
      <c r="L472" s="61"/>
      <c r="M472" s="65" t="s">
        <v>590</v>
      </c>
      <c r="N472" s="61"/>
      <c r="O472" s="61"/>
      <c r="P472" s="61"/>
      <c r="Q472" s="61"/>
      <c r="R472" s="61">
        <v>526140</v>
      </c>
      <c r="S472" s="66" t="s">
        <v>825</v>
      </c>
    </row>
    <row r="473" spans="1:19">
      <c r="A473" s="61" t="s">
        <v>537</v>
      </c>
      <c r="B473" s="62">
        <v>46015</v>
      </c>
      <c r="C473" s="63" t="s">
        <v>1391</v>
      </c>
      <c r="D473" s="67"/>
      <c r="E473" s="67">
        <v>-82025</v>
      </c>
      <c r="F473" s="61" t="str">
        <f t="shared" si="7"/>
        <v>借</v>
      </c>
      <c r="G473" s="64">
        <f>SUM(D$6:E473)</f>
        <v>99258727</v>
      </c>
      <c r="H473" s="61" t="s">
        <v>610</v>
      </c>
      <c r="I473" s="61" t="s">
        <v>625</v>
      </c>
      <c r="J473" s="61" t="s">
        <v>114</v>
      </c>
      <c r="K473" s="64">
        <v>-82025</v>
      </c>
      <c r="L473" s="61"/>
      <c r="M473" s="65" t="s">
        <v>590</v>
      </c>
      <c r="N473" s="61"/>
      <c r="O473" s="61"/>
      <c r="P473" s="61"/>
      <c r="Q473" s="61"/>
      <c r="R473" s="61">
        <v>526141</v>
      </c>
      <c r="S473" s="66" t="s">
        <v>825</v>
      </c>
    </row>
    <row r="474" spans="1:19">
      <c r="A474" s="61" t="s">
        <v>537</v>
      </c>
      <c r="B474" s="62">
        <v>46015</v>
      </c>
      <c r="C474" s="63" t="s">
        <v>1389</v>
      </c>
      <c r="D474" s="67">
        <v>139617</v>
      </c>
      <c r="E474" s="67"/>
      <c r="F474" s="61" t="str">
        <f t="shared" si="7"/>
        <v>借</v>
      </c>
      <c r="G474" s="64">
        <f>SUM(D$6:E474)</f>
        <v>99398344</v>
      </c>
      <c r="H474" s="61" t="s">
        <v>606</v>
      </c>
      <c r="I474" s="61" t="s">
        <v>620</v>
      </c>
      <c r="J474" s="61" t="s">
        <v>114</v>
      </c>
      <c r="K474" s="64">
        <v>139617</v>
      </c>
      <c r="L474" s="61"/>
      <c r="M474" s="65" t="s">
        <v>590</v>
      </c>
      <c r="N474" s="61"/>
      <c r="O474" s="61"/>
      <c r="P474" s="61"/>
      <c r="Q474" s="61"/>
      <c r="R474" s="61">
        <v>526141</v>
      </c>
      <c r="S474" s="66" t="s">
        <v>825</v>
      </c>
    </row>
    <row r="475" spans="1:19">
      <c r="A475" s="61" t="s">
        <v>537</v>
      </c>
      <c r="B475" s="62">
        <v>46015</v>
      </c>
      <c r="C475" s="63" t="s">
        <v>1390</v>
      </c>
      <c r="D475" s="67">
        <v>49450768</v>
      </c>
      <c r="E475" s="67"/>
      <c r="F475" s="61" t="str">
        <f t="shared" si="7"/>
        <v>借</v>
      </c>
      <c r="G475" s="64">
        <f>SUM(D$6:E475)</f>
        <v>148849112</v>
      </c>
      <c r="H475" s="61" t="s">
        <v>606</v>
      </c>
      <c r="I475" s="61" t="s">
        <v>613</v>
      </c>
      <c r="J475" s="61" t="s">
        <v>114</v>
      </c>
      <c r="K475" s="64">
        <v>49450768</v>
      </c>
      <c r="L475" s="61"/>
      <c r="M475" s="65" t="s">
        <v>590</v>
      </c>
      <c r="N475" s="61"/>
      <c r="O475" s="61"/>
      <c r="P475" s="61"/>
      <c r="Q475" s="61"/>
      <c r="R475" s="61">
        <v>527646</v>
      </c>
      <c r="S475" s="66" t="s">
        <v>252</v>
      </c>
    </row>
    <row r="476" spans="1:19">
      <c r="A476" s="61" t="s">
        <v>537</v>
      </c>
      <c r="B476" s="62">
        <v>46017</v>
      </c>
      <c r="C476" s="63" t="s">
        <v>1392</v>
      </c>
      <c r="D476" s="67"/>
      <c r="E476" s="67">
        <v>-53525</v>
      </c>
      <c r="F476" s="61" t="str">
        <f t="shared" si="7"/>
        <v>借</v>
      </c>
      <c r="G476" s="64">
        <f>SUM(D$6:E476)</f>
        <v>148795587</v>
      </c>
      <c r="H476" s="61" t="s">
        <v>606</v>
      </c>
      <c r="I476" s="61" t="s">
        <v>625</v>
      </c>
      <c r="J476" s="61" t="s">
        <v>114</v>
      </c>
      <c r="K476" s="64">
        <v>-53525</v>
      </c>
      <c r="L476" s="61"/>
      <c r="M476" s="65" t="s">
        <v>590</v>
      </c>
      <c r="N476" s="61"/>
      <c r="O476" s="61"/>
      <c r="P476" s="61"/>
      <c r="Q476" s="61"/>
      <c r="R476" s="61">
        <v>526904</v>
      </c>
      <c r="S476" s="66" t="s">
        <v>825</v>
      </c>
    </row>
    <row r="477" spans="1:19">
      <c r="A477" s="61" t="s">
        <v>537</v>
      </c>
      <c r="B477" s="62">
        <v>46017</v>
      </c>
      <c r="C477" s="63" t="s">
        <v>1393</v>
      </c>
      <c r="D477" s="67">
        <v>235602</v>
      </c>
      <c r="E477" s="67"/>
      <c r="F477" s="61" t="str">
        <f t="shared" si="7"/>
        <v>借</v>
      </c>
      <c r="G477" s="64">
        <f>SUM(D$6:E477)</f>
        <v>149031189</v>
      </c>
      <c r="H477" s="61" t="s">
        <v>610</v>
      </c>
      <c r="I477" s="61" t="s">
        <v>620</v>
      </c>
      <c r="J477" s="61" t="s">
        <v>114</v>
      </c>
      <c r="K477" s="64">
        <v>235602</v>
      </c>
      <c r="L477" s="61"/>
      <c r="M477" s="65" t="s">
        <v>590</v>
      </c>
      <c r="N477" s="61"/>
      <c r="O477" s="61"/>
      <c r="P477" s="61"/>
      <c r="Q477" s="61"/>
      <c r="R477" s="61">
        <v>526904</v>
      </c>
      <c r="S477" s="66" t="s">
        <v>825</v>
      </c>
    </row>
    <row r="478" spans="1:19">
      <c r="A478" s="61" t="s">
        <v>537</v>
      </c>
      <c r="B478" s="62">
        <v>46020</v>
      </c>
      <c r="C478" s="63" t="s">
        <v>1394</v>
      </c>
      <c r="D478" s="67"/>
      <c r="E478" s="67">
        <v>-572596</v>
      </c>
      <c r="F478" s="61" t="str">
        <f t="shared" si="7"/>
        <v>借</v>
      </c>
      <c r="G478" s="64">
        <f>SUM(D$6:E478)</f>
        <v>148458593</v>
      </c>
      <c r="H478" s="61" t="s">
        <v>606</v>
      </c>
      <c r="I478" s="61" t="s">
        <v>625</v>
      </c>
      <c r="J478" s="61" t="s">
        <v>114</v>
      </c>
      <c r="K478" s="64">
        <v>-572596</v>
      </c>
      <c r="L478" s="61"/>
      <c r="M478" s="65" t="s">
        <v>590</v>
      </c>
      <c r="N478" s="61"/>
      <c r="O478" s="61"/>
      <c r="P478" s="61"/>
      <c r="Q478" s="61"/>
      <c r="R478" s="61">
        <v>527250</v>
      </c>
      <c r="S478" s="66" t="s">
        <v>825</v>
      </c>
    </row>
    <row r="479" spans="1:19">
      <c r="A479" s="61" t="s">
        <v>537</v>
      </c>
      <c r="B479" s="62">
        <v>46020</v>
      </c>
      <c r="C479" s="63" t="s">
        <v>1395</v>
      </c>
      <c r="D479" s="67"/>
      <c r="E479" s="67">
        <v>-417624</v>
      </c>
      <c r="F479" s="61" t="str">
        <f t="shared" si="7"/>
        <v>借</v>
      </c>
      <c r="G479" s="64">
        <f>SUM(D$6:E479)</f>
        <v>148040969</v>
      </c>
      <c r="H479" s="61" t="s">
        <v>610</v>
      </c>
      <c r="I479" s="61" t="s">
        <v>625</v>
      </c>
      <c r="J479" s="61" t="s">
        <v>114</v>
      </c>
      <c r="K479" s="64">
        <v>-417624</v>
      </c>
      <c r="L479" s="61"/>
      <c r="M479" s="65" t="s">
        <v>590</v>
      </c>
      <c r="N479" s="61"/>
      <c r="O479" s="61"/>
      <c r="P479" s="61"/>
      <c r="Q479" s="61"/>
      <c r="R479" s="61">
        <v>527250</v>
      </c>
      <c r="S479" s="66" t="s">
        <v>825</v>
      </c>
    </row>
    <row r="480" spans="1:19">
      <c r="A480" s="61" t="s">
        <v>537</v>
      </c>
      <c r="B480" s="62">
        <v>46021</v>
      </c>
      <c r="C480" s="63" t="s">
        <v>1396</v>
      </c>
      <c r="D480" s="67"/>
      <c r="E480" s="67">
        <v>-420832</v>
      </c>
      <c r="F480" s="61" t="str">
        <f t="shared" si="7"/>
        <v>借</v>
      </c>
      <c r="G480" s="64">
        <f>SUM(D$6:E480)</f>
        <v>147620137</v>
      </c>
      <c r="H480" s="61" t="s">
        <v>610</v>
      </c>
      <c r="I480" s="61" t="s">
        <v>625</v>
      </c>
      <c r="J480" s="61" t="s">
        <v>114</v>
      </c>
      <c r="K480" s="64">
        <v>-420832</v>
      </c>
      <c r="L480" s="61"/>
      <c r="M480" s="65" t="s">
        <v>590</v>
      </c>
      <c r="N480" s="61"/>
      <c r="O480" s="61"/>
      <c r="P480" s="61"/>
      <c r="Q480" s="61"/>
      <c r="R480" s="61">
        <v>527591</v>
      </c>
      <c r="S480" s="66" t="s">
        <v>825</v>
      </c>
    </row>
    <row r="481" spans="1:19">
      <c r="A481" s="61" t="s">
        <v>537</v>
      </c>
      <c r="B481" s="62">
        <v>46022</v>
      </c>
      <c r="C481" s="63" t="s">
        <v>1399</v>
      </c>
      <c r="D481" s="67"/>
      <c r="E481" s="67">
        <v>-105152</v>
      </c>
      <c r="F481" s="61" t="str">
        <f t="shared" si="7"/>
        <v>借</v>
      </c>
      <c r="G481" s="64">
        <f>SUM(D$6:E481)</f>
        <v>147514985</v>
      </c>
      <c r="H481" s="61" t="s">
        <v>610</v>
      </c>
      <c r="I481" s="61" t="s">
        <v>1398</v>
      </c>
      <c r="J481" s="61" t="s">
        <v>114</v>
      </c>
      <c r="K481" s="64">
        <v>-105152</v>
      </c>
      <c r="L481" s="61"/>
      <c r="M481" s="65" t="s">
        <v>590</v>
      </c>
      <c r="N481" s="61"/>
      <c r="O481" s="61"/>
      <c r="P481" s="61"/>
      <c r="Q481" s="61"/>
      <c r="R481" s="61">
        <v>528957</v>
      </c>
      <c r="S481" s="66" t="s">
        <v>825</v>
      </c>
    </row>
    <row r="482" spans="1:19">
      <c r="A482" s="61" t="s">
        <v>537</v>
      </c>
      <c r="B482" s="62">
        <v>46022</v>
      </c>
      <c r="C482" s="63" t="s">
        <v>1397</v>
      </c>
      <c r="D482" s="67"/>
      <c r="E482" s="67">
        <v>-85813</v>
      </c>
      <c r="F482" s="61" t="str">
        <f t="shared" si="7"/>
        <v>借</v>
      </c>
      <c r="G482" s="64">
        <f>SUM(D$6:E482)</f>
        <v>147429172</v>
      </c>
      <c r="H482" s="61" t="s">
        <v>606</v>
      </c>
      <c r="I482" s="61" t="s">
        <v>1398</v>
      </c>
      <c r="J482" s="61" t="s">
        <v>114</v>
      </c>
      <c r="K482" s="64">
        <v>-85813</v>
      </c>
      <c r="L482" s="61"/>
      <c r="M482" s="65" t="s">
        <v>590</v>
      </c>
      <c r="N482" s="61"/>
      <c r="O482" s="61"/>
      <c r="P482" s="61"/>
      <c r="Q482" s="61"/>
      <c r="R482" s="61">
        <v>528957</v>
      </c>
      <c r="S482" s="66" t="s">
        <v>825</v>
      </c>
    </row>
    <row r="483" spans="1:19">
      <c r="A483" s="61" t="s">
        <v>537</v>
      </c>
      <c r="B483" s="62">
        <v>46022</v>
      </c>
      <c r="C483" s="63" t="s">
        <v>1401</v>
      </c>
      <c r="D483" s="67">
        <v>16671</v>
      </c>
      <c r="E483" s="67"/>
      <c r="F483" s="61" t="str">
        <f t="shared" si="7"/>
        <v>借</v>
      </c>
      <c r="G483" s="64">
        <f>SUM(D$6:E483)</f>
        <v>147445843</v>
      </c>
      <c r="H483" s="61" t="s">
        <v>606</v>
      </c>
      <c r="I483" s="61" t="s">
        <v>613</v>
      </c>
      <c r="J483" s="61" t="s">
        <v>114</v>
      </c>
      <c r="K483" s="64">
        <v>16671</v>
      </c>
      <c r="L483" s="61"/>
      <c r="M483" s="65" t="s">
        <v>590</v>
      </c>
      <c r="N483" s="61"/>
      <c r="O483" s="61"/>
      <c r="P483" s="61"/>
      <c r="Q483" s="61"/>
      <c r="R483" s="61">
        <v>528646</v>
      </c>
      <c r="S483" s="66" t="s">
        <v>252</v>
      </c>
    </row>
    <row r="484" spans="1:19">
      <c r="A484" s="61" t="s">
        <v>537</v>
      </c>
      <c r="B484" s="62">
        <v>46022</v>
      </c>
      <c r="C484" s="63" t="s">
        <v>1402</v>
      </c>
      <c r="D484" s="67">
        <v>83160</v>
      </c>
      <c r="E484" s="67"/>
      <c r="F484" s="61" t="str">
        <f t="shared" si="7"/>
        <v>借</v>
      </c>
      <c r="G484" s="64">
        <f>SUM(D$6:E484)</f>
        <v>147529003</v>
      </c>
      <c r="H484" s="61" t="s">
        <v>606</v>
      </c>
      <c r="I484" s="61" t="s">
        <v>1398</v>
      </c>
      <c r="J484" s="61" t="s">
        <v>114</v>
      </c>
      <c r="K484" s="64">
        <v>83160</v>
      </c>
      <c r="L484" s="61"/>
      <c r="M484" s="65" t="s">
        <v>590</v>
      </c>
      <c r="N484" s="61"/>
      <c r="O484" s="61"/>
      <c r="P484" s="61"/>
      <c r="Q484" s="61"/>
      <c r="R484" s="61">
        <v>528957</v>
      </c>
      <c r="S484" s="66" t="s">
        <v>825</v>
      </c>
    </row>
    <row r="485" spans="1:19">
      <c r="A485" s="61" t="s">
        <v>537</v>
      </c>
      <c r="B485" s="62">
        <v>46022</v>
      </c>
      <c r="C485" s="63" t="s">
        <v>1403</v>
      </c>
      <c r="D485" s="67">
        <v>112886</v>
      </c>
      <c r="E485" s="67"/>
      <c r="F485" s="61" t="str">
        <f t="shared" si="7"/>
        <v>借</v>
      </c>
      <c r="G485" s="64">
        <f>SUM(D$6:E485)</f>
        <v>147641889</v>
      </c>
      <c r="H485" s="61" t="s">
        <v>610</v>
      </c>
      <c r="I485" s="61" t="s">
        <v>1398</v>
      </c>
      <c r="J485" s="61" t="s">
        <v>114</v>
      </c>
      <c r="K485" s="64">
        <v>112886</v>
      </c>
      <c r="L485" s="61"/>
      <c r="M485" s="65" t="s">
        <v>590</v>
      </c>
      <c r="N485" s="61"/>
      <c r="O485" s="61"/>
      <c r="P485" s="61"/>
      <c r="Q485" s="61"/>
      <c r="R485" s="61">
        <v>528957</v>
      </c>
      <c r="S485" s="66" t="s">
        <v>825</v>
      </c>
    </row>
    <row r="486" spans="1:19">
      <c r="A486" s="61" t="s">
        <v>537</v>
      </c>
      <c r="B486" s="62">
        <v>46022</v>
      </c>
      <c r="C486" s="63" t="s">
        <v>1400</v>
      </c>
      <c r="D486" s="67">
        <v>587060</v>
      </c>
      <c r="E486" s="67"/>
      <c r="F486" s="61" t="str">
        <f t="shared" si="7"/>
        <v>借</v>
      </c>
      <c r="G486" s="64">
        <f>SUM(D$6:E486)</f>
        <v>148228949</v>
      </c>
      <c r="H486" s="61" t="s">
        <v>610</v>
      </c>
      <c r="I486" s="61" t="s">
        <v>620</v>
      </c>
      <c r="J486" s="61" t="s">
        <v>114</v>
      </c>
      <c r="K486" s="64">
        <v>587060</v>
      </c>
      <c r="L486" s="61"/>
      <c r="M486" s="65" t="s">
        <v>590</v>
      </c>
      <c r="N486" s="61"/>
      <c r="O486" s="61"/>
      <c r="P486" s="61"/>
      <c r="Q486" s="61"/>
      <c r="R486" s="61">
        <v>527844</v>
      </c>
      <c r="S486" s="66" t="s">
        <v>825</v>
      </c>
    </row>
    <row r="487" spans="1:19">
      <c r="A487" s="61" t="s">
        <v>537</v>
      </c>
      <c r="B487" s="62">
        <v>46024</v>
      </c>
      <c r="C487" s="63" t="s">
        <v>1405</v>
      </c>
      <c r="D487" s="67"/>
      <c r="E487" s="67">
        <v>-154151</v>
      </c>
      <c r="F487" s="61" t="str">
        <f t="shared" si="7"/>
        <v>借</v>
      </c>
      <c r="G487" s="64">
        <f>SUM(D$6:E487)</f>
        <v>148074798</v>
      </c>
      <c r="H487" s="61" t="s">
        <v>610</v>
      </c>
      <c r="I487" s="61" t="s">
        <v>625</v>
      </c>
      <c r="J487" s="61" t="s">
        <v>114</v>
      </c>
      <c r="K487" s="64">
        <v>-154151</v>
      </c>
      <c r="L487" s="61"/>
      <c r="M487" s="65" t="s">
        <v>590</v>
      </c>
      <c r="N487" s="61"/>
      <c r="O487" s="61"/>
      <c r="P487" s="61"/>
      <c r="Q487" s="61"/>
      <c r="R487" s="61">
        <v>528239</v>
      </c>
      <c r="S487" s="66" t="s">
        <v>825</v>
      </c>
    </row>
    <row r="488" spans="1:19">
      <c r="A488" s="61" t="s">
        <v>537</v>
      </c>
      <c r="B488" s="62">
        <v>46024</v>
      </c>
      <c r="C488" s="63" t="s">
        <v>1404</v>
      </c>
      <c r="D488" s="67"/>
      <c r="E488" s="67">
        <v>-78843</v>
      </c>
      <c r="F488" s="61" t="str">
        <f t="shared" si="7"/>
        <v>借</v>
      </c>
      <c r="G488" s="64">
        <f>SUM(D$6:E488)</f>
        <v>147995955</v>
      </c>
      <c r="H488" s="61" t="s">
        <v>606</v>
      </c>
      <c r="I488" s="61" t="s">
        <v>625</v>
      </c>
      <c r="J488" s="61" t="s">
        <v>114</v>
      </c>
      <c r="K488" s="64">
        <v>-78843</v>
      </c>
      <c r="L488" s="61"/>
      <c r="M488" s="65" t="s">
        <v>590</v>
      </c>
      <c r="N488" s="61"/>
      <c r="O488" s="61"/>
      <c r="P488" s="61"/>
      <c r="Q488" s="61"/>
      <c r="R488" s="61">
        <v>528239</v>
      </c>
      <c r="S488" s="66" t="s">
        <v>825</v>
      </c>
    </row>
    <row r="489" spans="1:19">
      <c r="A489" s="61" t="s">
        <v>537</v>
      </c>
      <c r="B489" s="62">
        <v>46024</v>
      </c>
      <c r="C489" s="63" t="s">
        <v>1406</v>
      </c>
      <c r="D489" s="67"/>
      <c r="E489" s="67">
        <v>-13024</v>
      </c>
      <c r="F489" s="61" t="str">
        <f t="shared" si="7"/>
        <v>借</v>
      </c>
      <c r="G489" s="64">
        <f>SUM(D$6:E489)</f>
        <v>147982931</v>
      </c>
      <c r="H489" s="61" t="s">
        <v>606</v>
      </c>
      <c r="I489" s="61" t="s">
        <v>638</v>
      </c>
      <c r="J489" s="61" t="s">
        <v>114</v>
      </c>
      <c r="K489" s="64">
        <v>-13024</v>
      </c>
      <c r="L489" s="61"/>
      <c r="M489" s="65" t="s">
        <v>590</v>
      </c>
      <c r="N489" s="61"/>
      <c r="O489" s="61"/>
      <c r="P489" s="61"/>
      <c r="Q489" s="61"/>
      <c r="R489" s="61">
        <v>528971</v>
      </c>
      <c r="S489" s="66" t="s">
        <v>252</v>
      </c>
    </row>
    <row r="490" spans="1:19">
      <c r="A490" s="61" t="s">
        <v>537</v>
      </c>
      <c r="B490" s="62">
        <v>46027</v>
      </c>
      <c r="C490" s="63" t="s">
        <v>1408</v>
      </c>
      <c r="D490" s="67">
        <v>207335</v>
      </c>
      <c r="E490" s="67"/>
      <c r="F490" s="61" t="str">
        <f t="shared" si="7"/>
        <v>借</v>
      </c>
      <c r="G490" s="64">
        <f>SUM(D$6:E490)</f>
        <v>148190266</v>
      </c>
      <c r="H490" s="61" t="s">
        <v>610</v>
      </c>
      <c r="I490" s="61" t="s">
        <v>620</v>
      </c>
      <c r="J490" s="61" t="s">
        <v>114</v>
      </c>
      <c r="K490" s="64">
        <v>207335</v>
      </c>
      <c r="L490" s="61"/>
      <c r="M490" s="65" t="s">
        <v>590</v>
      </c>
      <c r="N490" s="61"/>
      <c r="O490" s="61"/>
      <c r="P490" s="61"/>
      <c r="Q490" s="61"/>
      <c r="R490" s="61">
        <v>528610</v>
      </c>
      <c r="S490" s="66" t="s">
        <v>825</v>
      </c>
    </row>
    <row r="491" spans="1:19">
      <c r="A491" s="61" t="s">
        <v>537</v>
      </c>
      <c r="B491" s="62">
        <v>46027</v>
      </c>
      <c r="C491" s="63" t="s">
        <v>1407</v>
      </c>
      <c r="D491" s="67">
        <v>388143</v>
      </c>
      <c r="E491" s="67"/>
      <c r="F491" s="61" t="str">
        <f t="shared" si="7"/>
        <v>借</v>
      </c>
      <c r="G491" s="64">
        <f>SUM(D$6:E491)</f>
        <v>148578409</v>
      </c>
      <c r="H491" s="61" t="s">
        <v>606</v>
      </c>
      <c r="I491" s="61" t="s">
        <v>620</v>
      </c>
      <c r="J491" s="61" t="s">
        <v>114</v>
      </c>
      <c r="K491" s="64">
        <v>388143</v>
      </c>
      <c r="L491" s="61"/>
      <c r="M491" s="65" t="s">
        <v>590</v>
      </c>
      <c r="N491" s="61"/>
      <c r="O491" s="61"/>
      <c r="P491" s="61"/>
      <c r="Q491" s="61"/>
      <c r="R491" s="61">
        <v>528610</v>
      </c>
      <c r="S491" s="66" t="s">
        <v>825</v>
      </c>
    </row>
    <row r="492" spans="1:19">
      <c r="A492" s="61" t="s">
        <v>537</v>
      </c>
      <c r="B492" s="62">
        <v>46028</v>
      </c>
      <c r="C492" s="63" t="s">
        <v>1409</v>
      </c>
      <c r="D492" s="67">
        <v>334431</v>
      </c>
      <c r="E492" s="67"/>
      <c r="F492" s="61" t="str">
        <f t="shared" si="7"/>
        <v>借</v>
      </c>
      <c r="G492" s="64">
        <f>SUM(D$6:E492)</f>
        <v>148912840</v>
      </c>
      <c r="H492" s="61" t="s">
        <v>610</v>
      </c>
      <c r="I492" s="61" t="s">
        <v>620</v>
      </c>
      <c r="J492" s="61" t="s">
        <v>114</v>
      </c>
      <c r="K492" s="64">
        <v>334431</v>
      </c>
      <c r="L492" s="61"/>
      <c r="M492" s="65" t="s">
        <v>590</v>
      </c>
      <c r="N492" s="61"/>
      <c r="O492" s="61"/>
      <c r="P492" s="61"/>
      <c r="Q492" s="61"/>
      <c r="R492" s="61">
        <v>529308</v>
      </c>
      <c r="S492" s="66" t="s">
        <v>825</v>
      </c>
    </row>
    <row r="493" spans="1:19">
      <c r="A493" s="61" t="s">
        <v>537</v>
      </c>
      <c r="B493" s="62">
        <v>46029</v>
      </c>
      <c r="C493" s="63" t="s">
        <v>1410</v>
      </c>
      <c r="D493" s="67">
        <v>184656</v>
      </c>
      <c r="E493" s="67"/>
      <c r="F493" s="61" t="str">
        <f t="shared" si="7"/>
        <v>借</v>
      </c>
      <c r="G493" s="64">
        <f>SUM(D$6:E493)</f>
        <v>149097496</v>
      </c>
      <c r="H493" s="61" t="s">
        <v>610</v>
      </c>
      <c r="I493" s="61" t="s">
        <v>620</v>
      </c>
      <c r="J493" s="61" t="s">
        <v>114</v>
      </c>
      <c r="K493" s="64">
        <v>184656</v>
      </c>
      <c r="L493" s="61"/>
      <c r="M493" s="65" t="s">
        <v>590</v>
      </c>
      <c r="N493" s="61"/>
      <c r="O493" s="61"/>
      <c r="P493" s="61"/>
      <c r="Q493" s="61"/>
      <c r="R493" s="61">
        <v>529271</v>
      </c>
      <c r="S493" s="66" t="s">
        <v>825</v>
      </c>
    </row>
    <row r="494" spans="1:19">
      <c r="A494" s="61" t="s">
        <v>537</v>
      </c>
      <c r="B494" s="62">
        <v>46030</v>
      </c>
      <c r="C494" s="63" t="s">
        <v>1411</v>
      </c>
      <c r="D494" s="67"/>
      <c r="E494" s="67">
        <v>-507186</v>
      </c>
      <c r="F494" s="61" t="str">
        <f t="shared" si="7"/>
        <v>借</v>
      </c>
      <c r="G494" s="64">
        <f>SUM(D$6:E494)</f>
        <v>148590310</v>
      </c>
      <c r="H494" s="61" t="s">
        <v>610</v>
      </c>
      <c r="I494" s="61" t="s">
        <v>625</v>
      </c>
      <c r="J494" s="61" t="s">
        <v>114</v>
      </c>
      <c r="K494" s="64">
        <v>-507186</v>
      </c>
      <c r="L494" s="61"/>
      <c r="M494" s="65" t="s">
        <v>590</v>
      </c>
      <c r="N494" s="61"/>
      <c r="O494" s="61"/>
      <c r="P494" s="61"/>
      <c r="Q494" s="61"/>
      <c r="R494" s="61">
        <v>529423</v>
      </c>
      <c r="S494" s="66" t="s">
        <v>825</v>
      </c>
    </row>
    <row r="495" spans="1:19">
      <c r="A495" s="61" t="s">
        <v>537</v>
      </c>
      <c r="B495" s="62">
        <v>46031</v>
      </c>
      <c r="C495" s="63" t="s">
        <v>1449</v>
      </c>
      <c r="D495" s="67"/>
      <c r="E495" s="67">
        <v>-2000000</v>
      </c>
      <c r="F495" s="61" t="str">
        <f t="shared" si="7"/>
        <v>借</v>
      </c>
      <c r="G495" s="64">
        <f>SUM(D$6:E495)</f>
        <v>146590310</v>
      </c>
      <c r="H495" s="61"/>
      <c r="I495" s="61" t="s">
        <v>597</v>
      </c>
      <c r="J495" s="61" t="s">
        <v>114</v>
      </c>
      <c r="K495" s="64">
        <v>-2000000</v>
      </c>
      <c r="L495" s="61" t="s">
        <v>549</v>
      </c>
      <c r="M495" s="65" t="s">
        <v>557</v>
      </c>
      <c r="N495" s="61"/>
      <c r="O495" s="61"/>
      <c r="P495" s="61"/>
      <c r="Q495" s="61"/>
      <c r="R495" s="61">
        <v>530483</v>
      </c>
      <c r="S495" s="66" t="s">
        <v>845</v>
      </c>
    </row>
    <row r="496" spans="1:19">
      <c r="A496" s="61" t="s">
        <v>537</v>
      </c>
      <c r="B496" s="62">
        <v>46031</v>
      </c>
      <c r="C496" s="63" t="s">
        <v>1412</v>
      </c>
      <c r="D496" s="67">
        <v>69844</v>
      </c>
      <c r="E496" s="67"/>
      <c r="F496" s="61" t="str">
        <f t="shared" si="7"/>
        <v>借</v>
      </c>
      <c r="G496" s="64">
        <f>SUM(D$6:E496)</f>
        <v>146660154</v>
      </c>
      <c r="H496" s="61" t="s">
        <v>610</v>
      </c>
      <c r="I496" s="61" t="s">
        <v>620</v>
      </c>
      <c r="J496" s="61" t="s">
        <v>114</v>
      </c>
      <c r="K496" s="64">
        <v>69844</v>
      </c>
      <c r="L496" s="61"/>
      <c r="M496" s="65" t="s">
        <v>590</v>
      </c>
      <c r="N496" s="61"/>
      <c r="O496" s="61"/>
      <c r="P496" s="61"/>
      <c r="Q496" s="61"/>
      <c r="R496" s="61">
        <v>529571</v>
      </c>
      <c r="S496" s="66" t="s">
        <v>825</v>
      </c>
    </row>
    <row r="497" spans="1:19">
      <c r="A497" s="61" t="s">
        <v>537</v>
      </c>
      <c r="B497" s="62">
        <v>46034</v>
      </c>
      <c r="C497" s="63" t="s">
        <v>1413</v>
      </c>
      <c r="D497" s="67">
        <v>665497</v>
      </c>
      <c r="E497" s="67"/>
      <c r="F497" s="61" t="str">
        <f t="shared" si="7"/>
        <v>借</v>
      </c>
      <c r="G497" s="64">
        <f>SUM(D$6:E497)</f>
        <v>147325651</v>
      </c>
      <c r="H497" s="61" t="s">
        <v>610</v>
      </c>
      <c r="I497" s="61" t="s">
        <v>620</v>
      </c>
      <c r="J497" s="61" t="s">
        <v>114</v>
      </c>
      <c r="K497" s="64">
        <v>665497</v>
      </c>
      <c r="L497" s="61"/>
      <c r="M497" s="65" t="s">
        <v>590</v>
      </c>
      <c r="N497" s="61"/>
      <c r="O497" s="61"/>
      <c r="P497" s="61"/>
      <c r="Q497" s="61"/>
      <c r="R497" s="61">
        <v>529785</v>
      </c>
      <c r="S497" s="66" t="s">
        <v>825</v>
      </c>
    </row>
    <row r="498" spans="1:19">
      <c r="A498" s="61" t="s">
        <v>537</v>
      </c>
      <c r="B498" s="62">
        <v>46035</v>
      </c>
      <c r="C498" s="63" t="s">
        <v>1414</v>
      </c>
      <c r="D498" s="67">
        <v>350596</v>
      </c>
      <c r="E498" s="67"/>
      <c r="F498" s="61" t="str">
        <f t="shared" si="7"/>
        <v>借</v>
      </c>
      <c r="G498" s="64">
        <f>SUM(D$6:E498)</f>
        <v>147676247</v>
      </c>
      <c r="H498" s="61" t="s">
        <v>610</v>
      </c>
      <c r="I498" s="61" t="s">
        <v>620</v>
      </c>
      <c r="J498" s="61" t="s">
        <v>114</v>
      </c>
      <c r="K498" s="64">
        <v>350596</v>
      </c>
      <c r="L498" s="61"/>
      <c r="M498" s="65" t="s">
        <v>590</v>
      </c>
      <c r="N498" s="61"/>
      <c r="O498" s="61"/>
      <c r="P498" s="61"/>
      <c r="Q498" s="61"/>
      <c r="R498" s="61">
        <v>529915</v>
      </c>
      <c r="S498" s="66" t="s">
        <v>825</v>
      </c>
    </row>
    <row r="499" spans="1:19">
      <c r="A499" s="61" t="s">
        <v>537</v>
      </c>
      <c r="B499" s="62">
        <v>46036</v>
      </c>
      <c r="C499" s="63" t="s">
        <v>1415</v>
      </c>
      <c r="D499" s="67"/>
      <c r="E499" s="67">
        <v>-138378</v>
      </c>
      <c r="F499" s="61" t="str">
        <f t="shared" si="7"/>
        <v>借</v>
      </c>
      <c r="G499" s="64">
        <f>SUM(D$6:E499)</f>
        <v>147537869</v>
      </c>
      <c r="H499" s="61" t="s">
        <v>610</v>
      </c>
      <c r="I499" s="61" t="s">
        <v>625</v>
      </c>
      <c r="J499" s="61" t="s">
        <v>114</v>
      </c>
      <c r="K499" s="64">
        <v>-138378</v>
      </c>
      <c r="L499" s="61"/>
      <c r="M499" s="65" t="s">
        <v>590</v>
      </c>
      <c r="N499" s="61"/>
      <c r="O499" s="61"/>
      <c r="P499" s="61"/>
      <c r="Q499" s="61"/>
      <c r="R499" s="61">
        <v>530323</v>
      </c>
      <c r="S499" s="66" t="s">
        <v>825</v>
      </c>
    </row>
    <row r="500" spans="1:19">
      <c r="A500" s="61" t="s">
        <v>537</v>
      </c>
      <c r="B500" s="62">
        <v>46037</v>
      </c>
      <c r="C500" s="63" t="s">
        <v>1450</v>
      </c>
      <c r="D500" s="67"/>
      <c r="E500" s="67">
        <v>-279781</v>
      </c>
      <c r="F500" s="61" t="str">
        <f t="shared" si="7"/>
        <v>借</v>
      </c>
      <c r="G500" s="64">
        <f>SUM(D$6:E500)</f>
        <v>147258088</v>
      </c>
      <c r="H500" s="61" t="s">
        <v>606</v>
      </c>
      <c r="I500" s="61" t="s">
        <v>625</v>
      </c>
      <c r="J500" s="61" t="s">
        <v>114</v>
      </c>
      <c r="K500" s="64">
        <v>-279781</v>
      </c>
      <c r="L500" s="61"/>
      <c r="M500" s="65" t="s">
        <v>590</v>
      </c>
      <c r="N500" s="61"/>
      <c r="O500" s="61"/>
      <c r="P500" s="61"/>
      <c r="Q500" s="61"/>
      <c r="R500" s="61">
        <v>530524</v>
      </c>
      <c r="S500" s="66" t="s">
        <v>825</v>
      </c>
    </row>
    <row r="501" spans="1:19">
      <c r="A501" s="61" t="s">
        <v>537</v>
      </c>
      <c r="B501" s="62">
        <v>46037</v>
      </c>
      <c r="C501" s="63" t="s">
        <v>1451</v>
      </c>
      <c r="D501" s="67"/>
      <c r="E501" s="67">
        <v>-63518</v>
      </c>
      <c r="F501" s="61" t="str">
        <f t="shared" si="7"/>
        <v>借</v>
      </c>
      <c r="G501" s="64">
        <f>SUM(D$6:E501)</f>
        <v>147194570</v>
      </c>
      <c r="H501" s="61" t="s">
        <v>610</v>
      </c>
      <c r="I501" s="61" t="s">
        <v>625</v>
      </c>
      <c r="J501" s="61" t="s">
        <v>114</v>
      </c>
      <c r="K501" s="64">
        <v>-63518</v>
      </c>
      <c r="L501" s="61"/>
      <c r="M501" s="65" t="s">
        <v>590</v>
      </c>
      <c r="N501" s="61"/>
      <c r="O501" s="61"/>
      <c r="P501" s="61"/>
      <c r="Q501" s="61"/>
      <c r="R501" s="61">
        <v>530524</v>
      </c>
      <c r="S501" s="66" t="s">
        <v>825</v>
      </c>
    </row>
    <row r="502" spans="1:19">
      <c r="A502" s="61" t="s">
        <v>537</v>
      </c>
      <c r="B502" s="62">
        <v>46038</v>
      </c>
      <c r="C502" s="63" t="s">
        <v>1452</v>
      </c>
      <c r="D502" s="67"/>
      <c r="E502" s="67">
        <v>-36800</v>
      </c>
      <c r="F502" s="61" t="str">
        <f t="shared" si="7"/>
        <v>借</v>
      </c>
      <c r="G502" s="64">
        <f>SUM(D$6:E502)</f>
        <v>147157770</v>
      </c>
      <c r="H502" s="61" t="s">
        <v>610</v>
      </c>
      <c r="I502" s="61" t="s">
        <v>625</v>
      </c>
      <c r="J502" s="61" t="s">
        <v>114</v>
      </c>
      <c r="K502" s="64">
        <v>-36800</v>
      </c>
      <c r="L502" s="61"/>
      <c r="M502" s="65" t="s">
        <v>590</v>
      </c>
      <c r="N502" s="61"/>
      <c r="O502" s="61"/>
      <c r="P502" s="61"/>
      <c r="Q502" s="61"/>
      <c r="R502" s="61">
        <v>530787</v>
      </c>
      <c r="S502" s="66" t="s">
        <v>825</v>
      </c>
    </row>
    <row r="503" spans="1:19">
      <c r="A503" s="61" t="s">
        <v>537</v>
      </c>
      <c r="B503" s="62">
        <v>46038</v>
      </c>
      <c r="C503" s="63" t="s">
        <v>1453</v>
      </c>
      <c r="D503" s="67">
        <v>235068</v>
      </c>
      <c r="E503" s="67"/>
      <c r="F503" s="61" t="str">
        <f t="shared" si="7"/>
        <v>借</v>
      </c>
      <c r="G503" s="64">
        <f>SUM(D$6:E503)</f>
        <v>147392838</v>
      </c>
      <c r="H503" s="61" t="s">
        <v>606</v>
      </c>
      <c r="I503" s="61" t="s">
        <v>620</v>
      </c>
      <c r="J503" s="61" t="s">
        <v>114</v>
      </c>
      <c r="K503" s="64">
        <v>235068</v>
      </c>
      <c r="L503" s="61"/>
      <c r="M503" s="65" t="s">
        <v>590</v>
      </c>
      <c r="N503" s="61"/>
      <c r="O503" s="61"/>
      <c r="P503" s="61"/>
      <c r="Q503" s="61"/>
      <c r="R503" s="61">
        <v>530787</v>
      </c>
      <c r="S503" s="66" t="s">
        <v>825</v>
      </c>
    </row>
    <row r="504" spans="1:19">
      <c r="A504" s="61" t="s">
        <v>537</v>
      </c>
      <c r="B504" s="62">
        <v>46041</v>
      </c>
      <c r="C504" s="63" t="s">
        <v>1455</v>
      </c>
      <c r="D504" s="67">
        <v>522185</v>
      </c>
      <c r="E504" s="67"/>
      <c r="F504" s="61" t="str">
        <f t="shared" si="7"/>
        <v>借</v>
      </c>
      <c r="G504" s="64">
        <f>SUM(D$6:E504)</f>
        <v>147915023</v>
      </c>
      <c r="H504" s="61" t="s">
        <v>610</v>
      </c>
      <c r="I504" s="61" t="s">
        <v>620</v>
      </c>
      <c r="J504" s="61" t="s">
        <v>114</v>
      </c>
      <c r="K504" s="64">
        <v>522185</v>
      </c>
      <c r="L504" s="61"/>
      <c r="M504" s="65" t="s">
        <v>590</v>
      </c>
      <c r="N504" s="61"/>
      <c r="O504" s="61"/>
      <c r="P504" s="61"/>
      <c r="Q504" s="61"/>
      <c r="R504" s="61">
        <v>530986</v>
      </c>
      <c r="S504" s="66" t="s">
        <v>825</v>
      </c>
    </row>
    <row r="505" spans="1:19">
      <c r="A505" s="61" t="s">
        <v>537</v>
      </c>
      <c r="B505" s="62">
        <v>46041</v>
      </c>
      <c r="C505" s="63" t="s">
        <v>1454</v>
      </c>
      <c r="D505" s="67">
        <v>1713923</v>
      </c>
      <c r="E505" s="67"/>
      <c r="F505" s="61" t="str">
        <f t="shared" si="7"/>
        <v>借</v>
      </c>
      <c r="G505" s="64">
        <f>SUM(D$6:E505)</f>
        <v>149628946</v>
      </c>
      <c r="H505" s="61" t="s">
        <v>606</v>
      </c>
      <c r="I505" s="61" t="s">
        <v>620</v>
      </c>
      <c r="J505" s="61" t="s">
        <v>114</v>
      </c>
      <c r="K505" s="64">
        <v>1713923</v>
      </c>
      <c r="L505" s="61"/>
      <c r="M505" s="65" t="s">
        <v>590</v>
      </c>
      <c r="N505" s="61"/>
      <c r="O505" s="61"/>
      <c r="P505" s="61"/>
      <c r="Q505" s="61"/>
      <c r="R505" s="61">
        <v>530986</v>
      </c>
      <c r="S505" s="66" t="s">
        <v>825</v>
      </c>
    </row>
    <row r="506" spans="1:19">
      <c r="A506" s="61" t="s">
        <v>537</v>
      </c>
      <c r="B506" s="62">
        <v>46042</v>
      </c>
      <c r="C506" s="63" t="s">
        <v>1456</v>
      </c>
      <c r="D506" s="67">
        <v>175052</v>
      </c>
      <c r="E506" s="67"/>
      <c r="F506" s="61" t="str">
        <f t="shared" si="7"/>
        <v>借</v>
      </c>
      <c r="G506" s="64">
        <f>SUM(D$6:E506)</f>
        <v>149803998</v>
      </c>
      <c r="H506" s="61" t="s">
        <v>606</v>
      </c>
      <c r="I506" s="61" t="s">
        <v>620</v>
      </c>
      <c r="J506" s="61" t="s">
        <v>114</v>
      </c>
      <c r="K506" s="64">
        <v>175052</v>
      </c>
      <c r="L506" s="61"/>
      <c r="M506" s="65" t="s">
        <v>590</v>
      </c>
      <c r="N506" s="61"/>
      <c r="O506" s="61"/>
      <c r="P506" s="61"/>
      <c r="Q506" s="61"/>
      <c r="R506" s="61">
        <v>531133</v>
      </c>
      <c r="S506" s="66" t="s">
        <v>825</v>
      </c>
    </row>
    <row r="507" spans="1:19">
      <c r="A507" s="61" t="s">
        <v>537</v>
      </c>
      <c r="B507" s="62">
        <v>46042</v>
      </c>
      <c r="C507" s="63" t="s">
        <v>1457</v>
      </c>
      <c r="D507" s="67">
        <v>350004</v>
      </c>
      <c r="E507" s="67"/>
      <c r="F507" s="61" t="str">
        <f t="shared" si="7"/>
        <v>借</v>
      </c>
      <c r="G507" s="64">
        <f>SUM(D$6:E507)</f>
        <v>150154002</v>
      </c>
      <c r="H507" s="61" t="s">
        <v>610</v>
      </c>
      <c r="I507" s="61" t="s">
        <v>620</v>
      </c>
      <c r="J507" s="61" t="s">
        <v>114</v>
      </c>
      <c r="K507" s="64">
        <v>350004</v>
      </c>
      <c r="L507" s="61"/>
      <c r="M507" s="65" t="s">
        <v>590</v>
      </c>
      <c r="N507" s="61"/>
      <c r="O507" s="61"/>
      <c r="P507" s="61"/>
      <c r="Q507" s="61"/>
      <c r="R507" s="61">
        <v>531133</v>
      </c>
      <c r="S507" s="66" t="s">
        <v>825</v>
      </c>
    </row>
    <row r="508" spans="1:19">
      <c r="A508" s="61" t="s">
        <v>537</v>
      </c>
      <c r="B508" s="62">
        <v>46043</v>
      </c>
      <c r="C508" s="63" t="s">
        <v>1459</v>
      </c>
      <c r="D508" s="67">
        <v>25357</v>
      </c>
      <c r="E508" s="67"/>
      <c r="F508" s="61" t="str">
        <f t="shared" si="7"/>
        <v>借</v>
      </c>
      <c r="G508" s="64">
        <f>SUM(D$6:E508)</f>
        <v>150179359</v>
      </c>
      <c r="H508" s="61" t="s">
        <v>610</v>
      </c>
      <c r="I508" s="61" t="s">
        <v>620</v>
      </c>
      <c r="J508" s="61" t="s">
        <v>114</v>
      </c>
      <c r="K508" s="64">
        <v>25357</v>
      </c>
      <c r="L508" s="61"/>
      <c r="M508" s="65" t="s">
        <v>590</v>
      </c>
      <c r="N508" s="61"/>
      <c r="O508" s="61"/>
      <c r="P508" s="61"/>
      <c r="Q508" s="61"/>
      <c r="R508" s="61">
        <v>531391</v>
      </c>
      <c r="S508" s="66" t="s">
        <v>825</v>
      </c>
    </row>
    <row r="509" spans="1:19">
      <c r="A509" s="61" t="s">
        <v>537</v>
      </c>
      <c r="B509" s="62">
        <v>46043</v>
      </c>
      <c r="C509" s="63" t="s">
        <v>1458</v>
      </c>
      <c r="D509" s="67">
        <v>553512</v>
      </c>
      <c r="E509" s="67"/>
      <c r="F509" s="61" t="str">
        <f t="shared" si="7"/>
        <v>借</v>
      </c>
      <c r="G509" s="64">
        <f>SUM(D$6:E509)</f>
        <v>150732871</v>
      </c>
      <c r="H509" s="61" t="s">
        <v>606</v>
      </c>
      <c r="I509" s="61" t="s">
        <v>620</v>
      </c>
      <c r="J509" s="61" t="s">
        <v>114</v>
      </c>
      <c r="K509" s="64">
        <v>553512</v>
      </c>
      <c r="L509" s="61"/>
      <c r="M509" s="65" t="s">
        <v>590</v>
      </c>
      <c r="N509" s="61"/>
      <c r="O509" s="61"/>
      <c r="P509" s="61"/>
      <c r="Q509" s="61"/>
      <c r="R509" s="61">
        <v>531391</v>
      </c>
      <c r="S509" s="66" t="s">
        <v>825</v>
      </c>
    </row>
    <row r="510" spans="1:19">
      <c r="A510" s="61" t="s">
        <v>537</v>
      </c>
      <c r="B510" s="62">
        <v>46044</v>
      </c>
      <c r="C510" s="63" t="s">
        <v>1501</v>
      </c>
      <c r="D510" s="67">
        <v>76836</v>
      </c>
      <c r="E510" s="67"/>
      <c r="F510" s="61" t="str">
        <f t="shared" si="7"/>
        <v>借</v>
      </c>
      <c r="G510" s="64">
        <f>SUM(D$6:E510)</f>
        <v>150809707</v>
      </c>
      <c r="H510" s="61" t="s">
        <v>1502</v>
      </c>
      <c r="I510" s="61" t="s">
        <v>1503</v>
      </c>
      <c r="J510" s="61" t="s">
        <v>1504</v>
      </c>
      <c r="K510" s="64">
        <v>380000</v>
      </c>
      <c r="L510" s="61"/>
      <c r="M510" s="65" t="s">
        <v>1505</v>
      </c>
      <c r="N510" s="61"/>
      <c r="O510" s="61"/>
      <c r="P510" s="61"/>
      <c r="Q510" s="61"/>
      <c r="R510" s="61">
        <v>533411</v>
      </c>
      <c r="S510" s="66" t="s">
        <v>37</v>
      </c>
    </row>
    <row r="511" spans="1:19">
      <c r="A511" s="61" t="s">
        <v>537</v>
      </c>
      <c r="B511" s="62">
        <v>46044</v>
      </c>
      <c r="C511" s="63" t="s">
        <v>1461</v>
      </c>
      <c r="D511" s="67">
        <v>90739</v>
      </c>
      <c r="E511" s="67"/>
      <c r="F511" s="61" t="str">
        <f t="shared" si="7"/>
        <v>借</v>
      </c>
      <c r="G511" s="64">
        <f>SUM(D$6:E511)</f>
        <v>150900446</v>
      </c>
      <c r="H511" s="61" t="s">
        <v>610</v>
      </c>
      <c r="I511" s="61" t="s">
        <v>620</v>
      </c>
      <c r="J511" s="61" t="s">
        <v>114</v>
      </c>
      <c r="K511" s="64">
        <v>90739</v>
      </c>
      <c r="L511" s="61"/>
      <c r="M511" s="65" t="s">
        <v>590</v>
      </c>
      <c r="N511" s="61"/>
      <c r="O511" s="61"/>
      <c r="P511" s="61"/>
      <c r="Q511" s="61"/>
      <c r="R511" s="61">
        <v>531865</v>
      </c>
      <c r="S511" s="66" t="s">
        <v>825</v>
      </c>
    </row>
    <row r="512" spans="1:19">
      <c r="A512" s="61" t="s">
        <v>537</v>
      </c>
      <c r="B512" s="62">
        <v>46044</v>
      </c>
      <c r="C512" s="63" t="s">
        <v>1460</v>
      </c>
      <c r="D512" s="67">
        <v>324142</v>
      </c>
      <c r="E512" s="67"/>
      <c r="F512" s="61" t="str">
        <f t="shared" si="7"/>
        <v>借</v>
      </c>
      <c r="G512" s="64">
        <f>SUM(D$6:E512)</f>
        <v>151224588</v>
      </c>
      <c r="H512" s="61" t="s">
        <v>606</v>
      </c>
      <c r="I512" s="61" t="s">
        <v>620</v>
      </c>
      <c r="J512" s="61" t="s">
        <v>114</v>
      </c>
      <c r="K512" s="64">
        <v>324142</v>
      </c>
      <c r="L512" s="61"/>
      <c r="M512" s="65" t="s">
        <v>590</v>
      </c>
      <c r="N512" s="61"/>
      <c r="O512" s="61"/>
      <c r="P512" s="61"/>
      <c r="Q512" s="61"/>
      <c r="R512" s="61">
        <v>531865</v>
      </c>
      <c r="S512" s="66" t="s">
        <v>825</v>
      </c>
    </row>
    <row r="513" spans="1:19">
      <c r="A513" s="61" t="s">
        <v>537</v>
      </c>
      <c r="B513" s="62">
        <v>46045</v>
      </c>
      <c r="C513" s="63" t="s">
        <v>1463</v>
      </c>
      <c r="D513" s="67"/>
      <c r="E513" s="67">
        <v>-28734</v>
      </c>
      <c r="F513" s="61" t="str">
        <f t="shared" si="7"/>
        <v>借</v>
      </c>
      <c r="G513" s="64">
        <f>SUM(D$6:E513)</f>
        <v>151195854</v>
      </c>
      <c r="H513" s="61" t="s">
        <v>606</v>
      </c>
      <c r="I513" s="61" t="s">
        <v>625</v>
      </c>
      <c r="J513" s="61" t="s">
        <v>114</v>
      </c>
      <c r="K513" s="64">
        <v>-28734</v>
      </c>
      <c r="L513" s="61"/>
      <c r="M513" s="65" t="s">
        <v>590</v>
      </c>
      <c r="N513" s="61"/>
      <c r="O513" s="61"/>
      <c r="P513" s="61"/>
      <c r="Q513" s="61"/>
      <c r="R513" s="61">
        <v>532166</v>
      </c>
      <c r="S513" s="66" t="s">
        <v>825</v>
      </c>
    </row>
    <row r="514" spans="1:19">
      <c r="A514" s="61" t="s">
        <v>537</v>
      </c>
      <c r="B514" s="62">
        <v>46045</v>
      </c>
      <c r="C514" s="63" t="s">
        <v>1462</v>
      </c>
      <c r="D514" s="67">
        <v>143847</v>
      </c>
      <c r="E514" s="67"/>
      <c r="F514" s="61" t="str">
        <f t="shared" si="7"/>
        <v>借</v>
      </c>
      <c r="G514" s="64">
        <f>SUM(D$6:E514)</f>
        <v>151339701</v>
      </c>
      <c r="H514" s="61" t="s">
        <v>610</v>
      </c>
      <c r="I514" s="61" t="s">
        <v>620</v>
      </c>
      <c r="J514" s="61" t="s">
        <v>114</v>
      </c>
      <c r="K514" s="64">
        <v>143847</v>
      </c>
      <c r="L514" s="61"/>
      <c r="M514" s="65" t="s">
        <v>590</v>
      </c>
      <c r="N514" s="61"/>
      <c r="O514" s="61"/>
      <c r="P514" s="61"/>
      <c r="Q514" s="61"/>
      <c r="R514" s="61">
        <v>532166</v>
      </c>
      <c r="S514" s="66" t="s">
        <v>825</v>
      </c>
    </row>
    <row r="515" spans="1:19">
      <c r="A515" s="61" t="s">
        <v>537</v>
      </c>
      <c r="B515" s="62">
        <v>46048</v>
      </c>
      <c r="C515" s="63" t="s">
        <v>1506</v>
      </c>
      <c r="D515" s="67"/>
      <c r="E515" s="67">
        <v>-300475</v>
      </c>
      <c r="F515" s="61" t="str">
        <f t="shared" si="7"/>
        <v>借</v>
      </c>
      <c r="G515" s="64">
        <f>SUM(D$6:E515)</f>
        <v>151039226</v>
      </c>
      <c r="H515" s="61" t="s">
        <v>610</v>
      </c>
      <c r="I515" s="61" t="s">
        <v>625</v>
      </c>
      <c r="J515" s="61" t="s">
        <v>114</v>
      </c>
      <c r="K515" s="64">
        <v>-300475</v>
      </c>
      <c r="L515" s="61"/>
      <c r="M515" s="65" t="s">
        <v>590</v>
      </c>
      <c r="N515" s="61"/>
      <c r="O515" s="61"/>
      <c r="P515" s="61"/>
      <c r="Q515" s="61"/>
      <c r="R515" s="61">
        <v>532721</v>
      </c>
      <c r="S515" s="66" t="s">
        <v>825</v>
      </c>
    </row>
    <row r="516" spans="1:19">
      <c r="A516" s="61" t="s">
        <v>537</v>
      </c>
      <c r="B516" s="62">
        <v>46048</v>
      </c>
      <c r="C516" s="63" t="s">
        <v>1507</v>
      </c>
      <c r="D516" s="67"/>
      <c r="E516" s="67">
        <v>-39641</v>
      </c>
      <c r="F516" s="61" t="str">
        <f t="shared" si="7"/>
        <v>借</v>
      </c>
      <c r="G516" s="64">
        <f>SUM(D$6:E516)</f>
        <v>150999585</v>
      </c>
      <c r="H516" s="61" t="s">
        <v>606</v>
      </c>
      <c r="I516" s="61" t="s">
        <v>625</v>
      </c>
      <c r="J516" s="61" t="s">
        <v>114</v>
      </c>
      <c r="K516" s="64">
        <v>-39641</v>
      </c>
      <c r="L516" s="61"/>
      <c r="M516" s="65" t="s">
        <v>590</v>
      </c>
      <c r="N516" s="61"/>
      <c r="O516" s="61"/>
      <c r="P516" s="61"/>
      <c r="Q516" s="61"/>
      <c r="R516" s="61">
        <v>532721</v>
      </c>
      <c r="S516" s="66" t="s">
        <v>825</v>
      </c>
    </row>
    <row r="517" spans="1:19">
      <c r="A517" s="61" t="s">
        <v>537</v>
      </c>
      <c r="B517" s="62">
        <v>46049</v>
      </c>
      <c r="C517" s="63" t="s">
        <v>1508</v>
      </c>
      <c r="D517" s="67"/>
      <c r="E517" s="67">
        <v>-29238</v>
      </c>
      <c r="F517" s="61" t="str">
        <f t="shared" si="7"/>
        <v>借</v>
      </c>
      <c r="G517" s="64">
        <f>SUM(D$6:E517)</f>
        <v>150970347</v>
      </c>
      <c r="H517" s="61" t="s">
        <v>610</v>
      </c>
      <c r="I517" s="61" t="s">
        <v>625</v>
      </c>
      <c r="J517" s="61" t="s">
        <v>114</v>
      </c>
      <c r="K517" s="64">
        <v>-29238</v>
      </c>
      <c r="L517" s="61"/>
      <c r="M517" s="65" t="s">
        <v>590</v>
      </c>
      <c r="N517" s="61"/>
      <c r="O517" s="61"/>
      <c r="P517" s="61"/>
      <c r="Q517" s="61"/>
      <c r="R517" s="61">
        <v>532932</v>
      </c>
      <c r="S517" s="66" t="s">
        <v>825</v>
      </c>
    </row>
    <row r="518" spans="1:19">
      <c r="A518" s="61" t="s">
        <v>537</v>
      </c>
      <c r="B518" s="62">
        <v>46051</v>
      </c>
      <c r="C518" s="63" t="s">
        <v>1509</v>
      </c>
      <c r="D518" s="67">
        <v>97924</v>
      </c>
      <c r="E518" s="67"/>
      <c r="F518" s="61" t="str">
        <f t="shared" si="7"/>
        <v>借</v>
      </c>
      <c r="G518" s="64">
        <f>SUM(D$6:E518)</f>
        <v>151068271</v>
      </c>
      <c r="H518" s="61" t="s">
        <v>610</v>
      </c>
      <c r="I518" s="61" t="s">
        <v>620</v>
      </c>
      <c r="J518" s="61" t="s">
        <v>114</v>
      </c>
      <c r="K518" s="64">
        <v>97924</v>
      </c>
      <c r="L518" s="61"/>
      <c r="M518" s="65" t="s">
        <v>590</v>
      </c>
      <c r="N518" s="61"/>
      <c r="O518" s="61"/>
      <c r="P518" s="61"/>
      <c r="Q518" s="61"/>
      <c r="R518" s="61">
        <v>533512</v>
      </c>
      <c r="S518" s="66" t="s">
        <v>825</v>
      </c>
    </row>
    <row r="519" spans="1:19">
      <c r="A519" s="61" t="s">
        <v>537</v>
      </c>
      <c r="B519" s="62">
        <v>46052</v>
      </c>
      <c r="C519" s="63" t="s">
        <v>1552</v>
      </c>
      <c r="D519" s="67"/>
      <c r="E519" s="67">
        <v>-138999</v>
      </c>
      <c r="F519" s="61" t="str">
        <f t="shared" ref="F519:F582" si="8">IF(G519&gt;0,"借","貸")</f>
        <v>借</v>
      </c>
      <c r="G519" s="64">
        <f>SUM(D$6:E519)</f>
        <v>150929272</v>
      </c>
      <c r="H519" s="61" t="s">
        <v>610</v>
      </c>
      <c r="I519" s="61" t="s">
        <v>729</v>
      </c>
      <c r="J519" s="61" t="s">
        <v>114</v>
      </c>
      <c r="K519" s="64">
        <v>-138999</v>
      </c>
      <c r="L519" s="61"/>
      <c r="M519" s="65" t="s">
        <v>590</v>
      </c>
      <c r="N519" s="61"/>
      <c r="O519" s="61"/>
      <c r="P519" s="61"/>
      <c r="Q519" s="61"/>
      <c r="R519" s="61">
        <v>535128</v>
      </c>
      <c r="S519" s="66" t="s">
        <v>825</v>
      </c>
    </row>
    <row r="520" spans="1:19">
      <c r="A520" s="61" t="s">
        <v>537</v>
      </c>
      <c r="B520" s="62">
        <v>46052</v>
      </c>
      <c r="C520" s="63" t="s">
        <v>1551</v>
      </c>
      <c r="D520" s="67"/>
      <c r="E520" s="67">
        <v>-106120</v>
      </c>
      <c r="F520" s="61" t="str">
        <f t="shared" si="8"/>
        <v>借</v>
      </c>
      <c r="G520" s="64">
        <f>SUM(D$6:E520)</f>
        <v>150823152</v>
      </c>
      <c r="H520" s="61" t="s">
        <v>606</v>
      </c>
      <c r="I520" s="61" t="s">
        <v>729</v>
      </c>
      <c r="J520" s="61" t="s">
        <v>114</v>
      </c>
      <c r="K520" s="64">
        <v>-106120</v>
      </c>
      <c r="L520" s="61"/>
      <c r="M520" s="65" t="s">
        <v>590</v>
      </c>
      <c r="N520" s="61"/>
      <c r="O520" s="61"/>
      <c r="P520" s="61"/>
      <c r="Q520" s="61"/>
      <c r="R520" s="61">
        <v>535128</v>
      </c>
      <c r="S520" s="66" t="s">
        <v>825</v>
      </c>
    </row>
    <row r="521" spans="1:19">
      <c r="A521" s="61" t="s">
        <v>537</v>
      </c>
      <c r="B521" s="62">
        <v>46052</v>
      </c>
      <c r="C521" s="63" t="s">
        <v>1510</v>
      </c>
      <c r="D521" s="67"/>
      <c r="E521" s="67">
        <v>-27222</v>
      </c>
      <c r="F521" s="61" t="str">
        <f t="shared" si="8"/>
        <v>借</v>
      </c>
      <c r="G521" s="64">
        <f>SUM(D$6:E521)</f>
        <v>150795930</v>
      </c>
      <c r="H521" s="61" t="s">
        <v>606</v>
      </c>
      <c r="I521" s="61" t="s">
        <v>625</v>
      </c>
      <c r="J521" s="61" t="s">
        <v>114</v>
      </c>
      <c r="K521" s="64">
        <v>-27222</v>
      </c>
      <c r="L521" s="61"/>
      <c r="M521" s="65" t="s">
        <v>590</v>
      </c>
      <c r="N521" s="61"/>
      <c r="O521" s="61"/>
      <c r="P521" s="61"/>
      <c r="Q521" s="61"/>
      <c r="R521" s="61">
        <v>533883</v>
      </c>
      <c r="S521" s="66" t="s">
        <v>825</v>
      </c>
    </row>
    <row r="522" spans="1:19">
      <c r="A522" s="61" t="s">
        <v>537</v>
      </c>
      <c r="B522" s="62">
        <v>46052</v>
      </c>
      <c r="C522" s="63" t="s">
        <v>1547</v>
      </c>
      <c r="D522" s="67">
        <v>16183</v>
      </c>
      <c r="E522" s="67"/>
      <c r="F522" s="61" t="str">
        <f t="shared" si="8"/>
        <v>借</v>
      </c>
      <c r="G522" s="64">
        <f>SUM(D$6:E522)</f>
        <v>150812113</v>
      </c>
      <c r="H522" s="61" t="s">
        <v>606</v>
      </c>
      <c r="I522" s="61" t="s">
        <v>613</v>
      </c>
      <c r="J522" s="61" t="s">
        <v>114</v>
      </c>
      <c r="K522" s="64">
        <v>16183</v>
      </c>
      <c r="L522" s="61"/>
      <c r="M522" s="65" t="s">
        <v>590</v>
      </c>
      <c r="N522" s="61"/>
      <c r="O522" s="61"/>
      <c r="P522" s="61"/>
      <c r="Q522" s="61"/>
      <c r="R522" s="61">
        <v>534680</v>
      </c>
      <c r="S522" s="66" t="s">
        <v>252</v>
      </c>
    </row>
    <row r="523" spans="1:19">
      <c r="A523" s="61" t="s">
        <v>537</v>
      </c>
      <c r="B523" s="62">
        <v>46052</v>
      </c>
      <c r="C523" s="63" t="s">
        <v>1549</v>
      </c>
      <c r="D523" s="67">
        <v>109762</v>
      </c>
      <c r="E523" s="67"/>
      <c r="F523" s="61" t="str">
        <f t="shared" si="8"/>
        <v>借</v>
      </c>
      <c r="G523" s="64">
        <f>SUM(D$6:E523)</f>
        <v>150921875</v>
      </c>
      <c r="H523" s="61" t="s">
        <v>606</v>
      </c>
      <c r="I523" s="61" t="s">
        <v>729</v>
      </c>
      <c r="J523" s="61" t="s">
        <v>114</v>
      </c>
      <c r="K523" s="64">
        <v>109762</v>
      </c>
      <c r="L523" s="61"/>
      <c r="M523" s="65" t="s">
        <v>590</v>
      </c>
      <c r="N523" s="61"/>
      <c r="O523" s="61"/>
      <c r="P523" s="61"/>
      <c r="Q523" s="61"/>
      <c r="R523" s="61">
        <v>535128</v>
      </c>
      <c r="S523" s="66" t="s">
        <v>825</v>
      </c>
    </row>
    <row r="524" spans="1:19">
      <c r="A524" s="61" t="s">
        <v>537</v>
      </c>
      <c r="B524" s="62">
        <v>46052</v>
      </c>
      <c r="C524" s="63" t="s">
        <v>1511</v>
      </c>
      <c r="D524" s="67">
        <v>114937</v>
      </c>
      <c r="E524" s="67"/>
      <c r="F524" s="61" t="str">
        <f t="shared" si="8"/>
        <v>借</v>
      </c>
      <c r="G524" s="64">
        <f>SUM(D$6:E524)</f>
        <v>151036812</v>
      </c>
      <c r="H524" s="61" t="s">
        <v>610</v>
      </c>
      <c r="I524" s="61" t="s">
        <v>620</v>
      </c>
      <c r="J524" s="61" t="s">
        <v>114</v>
      </c>
      <c r="K524" s="64">
        <v>114937</v>
      </c>
      <c r="L524" s="61"/>
      <c r="M524" s="65" t="s">
        <v>590</v>
      </c>
      <c r="N524" s="61"/>
      <c r="O524" s="61"/>
      <c r="P524" s="61"/>
      <c r="Q524" s="61"/>
      <c r="R524" s="61">
        <v>533883</v>
      </c>
      <c r="S524" s="66" t="s">
        <v>825</v>
      </c>
    </row>
    <row r="525" spans="1:19">
      <c r="A525" s="61" t="s">
        <v>537</v>
      </c>
      <c r="B525" s="62">
        <v>46052</v>
      </c>
      <c r="C525" s="63" t="s">
        <v>1550</v>
      </c>
      <c r="D525" s="67">
        <v>147181</v>
      </c>
      <c r="E525" s="67"/>
      <c r="F525" s="61" t="str">
        <f t="shared" si="8"/>
        <v>借</v>
      </c>
      <c r="G525" s="64">
        <f>SUM(D$6:E525)</f>
        <v>151183993</v>
      </c>
      <c r="H525" s="61" t="s">
        <v>610</v>
      </c>
      <c r="I525" s="61" t="s">
        <v>729</v>
      </c>
      <c r="J525" s="61" t="s">
        <v>114</v>
      </c>
      <c r="K525" s="64">
        <v>147181</v>
      </c>
      <c r="L525" s="61"/>
      <c r="M525" s="65" t="s">
        <v>590</v>
      </c>
      <c r="N525" s="61"/>
      <c r="O525" s="61"/>
      <c r="P525" s="61"/>
      <c r="Q525" s="61"/>
      <c r="R525" s="61">
        <v>535128</v>
      </c>
      <c r="S525" s="66" t="s">
        <v>825</v>
      </c>
    </row>
    <row r="526" spans="1:19">
      <c r="A526" s="61" t="s">
        <v>537</v>
      </c>
      <c r="B526" s="62">
        <v>46055</v>
      </c>
      <c r="C526" s="63" t="s">
        <v>1553</v>
      </c>
      <c r="D526" s="67"/>
      <c r="E526" s="67">
        <v>-39641</v>
      </c>
      <c r="F526" s="61" t="str">
        <f t="shared" si="8"/>
        <v>借</v>
      </c>
      <c r="G526" s="64">
        <f>SUM(D$6:E526)</f>
        <v>151144352</v>
      </c>
      <c r="H526" s="61" t="s">
        <v>610</v>
      </c>
      <c r="I526" s="61" t="s">
        <v>625</v>
      </c>
      <c r="J526" s="61" t="s">
        <v>114</v>
      </c>
      <c r="K526" s="64">
        <v>-39641</v>
      </c>
      <c r="L526" s="61"/>
      <c r="M526" s="65" t="s">
        <v>590</v>
      </c>
      <c r="N526" s="61"/>
      <c r="O526" s="61"/>
      <c r="P526" s="61"/>
      <c r="Q526" s="61"/>
      <c r="R526" s="61">
        <v>534138</v>
      </c>
      <c r="S526" s="66" t="s">
        <v>825</v>
      </c>
    </row>
    <row r="527" spans="1:19">
      <c r="A527" s="61" t="s">
        <v>537</v>
      </c>
      <c r="B527" s="62">
        <v>46056</v>
      </c>
      <c r="C527" s="63" t="s">
        <v>1800</v>
      </c>
      <c r="D527" s="67">
        <v>10000000</v>
      </c>
      <c r="E527" s="67"/>
      <c r="F527" s="61" t="str">
        <f t="shared" si="8"/>
        <v>借</v>
      </c>
      <c r="G527" s="64">
        <f>SUM(D$6:E527)</f>
        <v>161144352</v>
      </c>
      <c r="H527" s="61" t="s">
        <v>606</v>
      </c>
      <c r="I527" s="61" t="s">
        <v>1801</v>
      </c>
      <c r="J527" s="61" t="s">
        <v>114</v>
      </c>
      <c r="K527" s="64">
        <v>10000000</v>
      </c>
      <c r="L527" s="61"/>
      <c r="M527" s="65" t="s">
        <v>590</v>
      </c>
      <c r="N527" s="61"/>
      <c r="O527" s="61"/>
      <c r="P527" s="61"/>
      <c r="Q527" s="61"/>
      <c r="R527" s="61">
        <v>536950</v>
      </c>
      <c r="S527" s="66" t="s">
        <v>825</v>
      </c>
    </row>
    <row r="528" spans="1:19">
      <c r="A528" s="61" t="s">
        <v>537</v>
      </c>
      <c r="B528" s="62">
        <v>46057</v>
      </c>
      <c r="C528" s="63" t="s">
        <v>1556</v>
      </c>
      <c r="D528" s="67"/>
      <c r="E528" s="67">
        <v>-145940</v>
      </c>
      <c r="F528" s="61" t="str">
        <f t="shared" si="8"/>
        <v>借</v>
      </c>
      <c r="G528" s="64">
        <f>SUM(D$6:E528)</f>
        <v>160998412</v>
      </c>
      <c r="H528" s="61" t="s">
        <v>610</v>
      </c>
      <c r="I528" s="61" t="s">
        <v>625</v>
      </c>
      <c r="J528" s="61" t="s">
        <v>114</v>
      </c>
      <c r="K528" s="64">
        <v>-145940</v>
      </c>
      <c r="L528" s="61"/>
      <c r="M528" s="65" t="s">
        <v>590</v>
      </c>
      <c r="N528" s="61"/>
      <c r="O528" s="61"/>
      <c r="P528" s="61"/>
      <c r="Q528" s="61"/>
      <c r="R528" s="61">
        <v>535714</v>
      </c>
      <c r="S528" s="66" t="s">
        <v>825</v>
      </c>
    </row>
    <row r="529" spans="1:19">
      <c r="A529" s="61" t="s">
        <v>537</v>
      </c>
      <c r="B529" s="62">
        <v>46057</v>
      </c>
      <c r="C529" s="63" t="s">
        <v>1555</v>
      </c>
      <c r="D529" s="67"/>
      <c r="E529" s="67">
        <v>-43858</v>
      </c>
      <c r="F529" s="61" t="str">
        <f t="shared" si="8"/>
        <v>借</v>
      </c>
      <c r="G529" s="64">
        <f>SUM(D$6:E529)</f>
        <v>160954554</v>
      </c>
      <c r="H529" s="61" t="s">
        <v>606</v>
      </c>
      <c r="I529" s="61" t="s">
        <v>625</v>
      </c>
      <c r="J529" s="61" t="s">
        <v>114</v>
      </c>
      <c r="K529" s="64">
        <v>-43858</v>
      </c>
      <c r="L529" s="61"/>
      <c r="M529" s="65" t="s">
        <v>590</v>
      </c>
      <c r="N529" s="61"/>
      <c r="O529" s="61"/>
      <c r="P529" s="61"/>
      <c r="Q529" s="61"/>
      <c r="R529" s="61">
        <v>535714</v>
      </c>
      <c r="S529" s="66" t="s">
        <v>825</v>
      </c>
    </row>
    <row r="530" spans="1:19">
      <c r="A530" s="61" t="s">
        <v>537</v>
      </c>
      <c r="B530" s="62">
        <v>46058</v>
      </c>
      <c r="C530" s="63" t="s">
        <v>1557</v>
      </c>
      <c r="D530" s="67">
        <v>104603</v>
      </c>
      <c r="E530" s="67"/>
      <c r="F530" s="61" t="str">
        <f t="shared" si="8"/>
        <v>借</v>
      </c>
      <c r="G530" s="64">
        <f>SUM(D$6:E530)</f>
        <v>161059157</v>
      </c>
      <c r="H530" s="61" t="s">
        <v>606</v>
      </c>
      <c r="I530" s="61" t="s">
        <v>620</v>
      </c>
      <c r="J530" s="61" t="s">
        <v>114</v>
      </c>
      <c r="K530" s="64">
        <v>104603</v>
      </c>
      <c r="L530" s="61"/>
      <c r="M530" s="65" t="s">
        <v>590</v>
      </c>
      <c r="N530" s="61"/>
      <c r="O530" s="61"/>
      <c r="P530" s="61"/>
      <c r="Q530" s="61"/>
      <c r="R530" s="61">
        <v>535718</v>
      </c>
      <c r="S530" s="66" t="s">
        <v>825</v>
      </c>
    </row>
    <row r="531" spans="1:19">
      <c r="A531" s="61" t="s">
        <v>537</v>
      </c>
      <c r="B531" s="62">
        <v>46058</v>
      </c>
      <c r="C531" s="63" t="s">
        <v>1558</v>
      </c>
      <c r="D531" s="67">
        <v>558404</v>
      </c>
      <c r="E531" s="67"/>
      <c r="F531" s="61" t="str">
        <f t="shared" si="8"/>
        <v>借</v>
      </c>
      <c r="G531" s="64">
        <f>SUM(D$6:E531)</f>
        <v>161617561</v>
      </c>
      <c r="H531" s="61" t="s">
        <v>610</v>
      </c>
      <c r="I531" s="61" t="s">
        <v>620</v>
      </c>
      <c r="J531" s="61" t="s">
        <v>114</v>
      </c>
      <c r="K531" s="64">
        <v>558404</v>
      </c>
      <c r="L531" s="61"/>
      <c r="M531" s="65" t="s">
        <v>590</v>
      </c>
      <c r="N531" s="61"/>
      <c r="O531" s="61"/>
      <c r="P531" s="61"/>
      <c r="Q531" s="61"/>
      <c r="R531" s="61">
        <v>535718</v>
      </c>
      <c r="S531" s="66" t="s">
        <v>825</v>
      </c>
    </row>
    <row r="532" spans="1:19">
      <c r="A532" s="61" t="s">
        <v>537</v>
      </c>
      <c r="B532" s="62">
        <v>46059</v>
      </c>
      <c r="C532" s="63" t="s">
        <v>1559</v>
      </c>
      <c r="D532" s="67">
        <v>345315</v>
      </c>
      <c r="E532" s="67"/>
      <c r="F532" s="61" t="str">
        <f t="shared" si="8"/>
        <v>借</v>
      </c>
      <c r="G532" s="64">
        <f>SUM(D$6:E532)</f>
        <v>161962876</v>
      </c>
      <c r="H532" s="61" t="s">
        <v>610</v>
      </c>
      <c r="I532" s="61" t="s">
        <v>620</v>
      </c>
      <c r="J532" s="61" t="s">
        <v>114</v>
      </c>
      <c r="K532" s="64">
        <v>345315</v>
      </c>
      <c r="L532" s="61"/>
      <c r="M532" s="65" t="s">
        <v>590</v>
      </c>
      <c r="N532" s="61"/>
      <c r="O532" s="61"/>
      <c r="P532" s="61"/>
      <c r="Q532" s="61"/>
      <c r="R532" s="61">
        <v>535879</v>
      </c>
      <c r="S532" s="66" t="s">
        <v>825</v>
      </c>
    </row>
    <row r="533" spans="1:19">
      <c r="A533" s="61" t="s">
        <v>537</v>
      </c>
      <c r="B533" s="62">
        <v>46062</v>
      </c>
      <c r="C533" s="63" t="s">
        <v>1561</v>
      </c>
      <c r="D533" s="67"/>
      <c r="E533" s="67">
        <v>-46022</v>
      </c>
      <c r="F533" s="61" t="str">
        <f t="shared" si="8"/>
        <v>借</v>
      </c>
      <c r="G533" s="64">
        <f>SUM(D$6:E533)</f>
        <v>161916854</v>
      </c>
      <c r="H533" s="61" t="s">
        <v>610</v>
      </c>
      <c r="I533" s="61" t="s">
        <v>625</v>
      </c>
      <c r="J533" s="61" t="s">
        <v>114</v>
      </c>
      <c r="K533" s="64">
        <v>-46022</v>
      </c>
      <c r="L533" s="61"/>
      <c r="M533" s="65" t="s">
        <v>590</v>
      </c>
      <c r="N533" s="61"/>
      <c r="O533" s="61"/>
      <c r="P533" s="61"/>
      <c r="Q533" s="61"/>
      <c r="R533" s="61">
        <v>536016</v>
      </c>
      <c r="S533" s="66" t="s">
        <v>825</v>
      </c>
    </row>
    <row r="534" spans="1:19">
      <c r="A534" s="61" t="s">
        <v>537</v>
      </c>
      <c r="B534" s="62">
        <v>46062</v>
      </c>
      <c r="C534" s="63" t="s">
        <v>1560</v>
      </c>
      <c r="D534" s="67">
        <v>2544675</v>
      </c>
      <c r="E534" s="67"/>
      <c r="F534" s="61" t="str">
        <f t="shared" si="8"/>
        <v>借</v>
      </c>
      <c r="G534" s="64">
        <f>SUM(D$6:E534)</f>
        <v>164461529</v>
      </c>
      <c r="H534" s="61" t="s">
        <v>606</v>
      </c>
      <c r="I534" s="61" t="s">
        <v>620</v>
      </c>
      <c r="J534" s="61" t="s">
        <v>114</v>
      </c>
      <c r="K534" s="64">
        <v>2544675</v>
      </c>
      <c r="L534" s="61"/>
      <c r="M534" s="65" t="s">
        <v>590</v>
      </c>
      <c r="N534" s="61"/>
      <c r="O534" s="61"/>
      <c r="P534" s="61"/>
      <c r="Q534" s="61"/>
      <c r="R534" s="61">
        <v>536016</v>
      </c>
      <c r="S534" s="66" t="s">
        <v>825</v>
      </c>
    </row>
    <row r="535" spans="1:19">
      <c r="A535" s="61" t="s">
        <v>537</v>
      </c>
      <c r="B535" s="62">
        <v>46063</v>
      </c>
      <c r="C535" s="63" t="s">
        <v>1802</v>
      </c>
      <c r="D535" s="67"/>
      <c r="E535" s="67">
        <v>-59535</v>
      </c>
      <c r="F535" s="61" t="str">
        <f t="shared" si="8"/>
        <v>借</v>
      </c>
      <c r="G535" s="64">
        <f>SUM(D$6:E535)</f>
        <v>164401994</v>
      </c>
      <c r="H535" s="61" t="s">
        <v>606</v>
      </c>
      <c r="I535" s="61" t="s">
        <v>625</v>
      </c>
      <c r="J535" s="61" t="s">
        <v>114</v>
      </c>
      <c r="K535" s="64">
        <v>-59535</v>
      </c>
      <c r="L535" s="61"/>
      <c r="M535" s="65" t="s">
        <v>590</v>
      </c>
      <c r="N535" s="61"/>
      <c r="O535" s="61"/>
      <c r="P535" s="61"/>
      <c r="Q535" s="61"/>
      <c r="R535" s="61">
        <v>538248</v>
      </c>
      <c r="S535" s="66" t="s">
        <v>1478</v>
      </c>
    </row>
    <row r="536" spans="1:19">
      <c r="A536" s="61" t="s">
        <v>537</v>
      </c>
      <c r="B536" s="62">
        <v>46063</v>
      </c>
      <c r="C536" s="63" t="s">
        <v>1803</v>
      </c>
      <c r="D536" s="67"/>
      <c r="E536" s="67">
        <v>-22307</v>
      </c>
      <c r="F536" s="61" t="str">
        <f t="shared" si="8"/>
        <v>借</v>
      </c>
      <c r="G536" s="64">
        <f>SUM(D$6:E536)</f>
        <v>164379687</v>
      </c>
      <c r="H536" s="61" t="s">
        <v>610</v>
      </c>
      <c r="I536" s="61" t="s">
        <v>625</v>
      </c>
      <c r="J536" s="61" t="s">
        <v>114</v>
      </c>
      <c r="K536" s="64">
        <v>-22307</v>
      </c>
      <c r="L536" s="61"/>
      <c r="M536" s="65" t="s">
        <v>590</v>
      </c>
      <c r="N536" s="61"/>
      <c r="O536" s="61"/>
      <c r="P536" s="61"/>
      <c r="Q536" s="61"/>
      <c r="R536" s="61">
        <v>538248</v>
      </c>
      <c r="S536" s="66" t="s">
        <v>1478</v>
      </c>
    </row>
    <row r="537" spans="1:19">
      <c r="A537" s="61" t="s">
        <v>537</v>
      </c>
      <c r="B537" s="62">
        <v>46063</v>
      </c>
      <c r="C537" s="63" t="s">
        <v>1562</v>
      </c>
      <c r="D537" s="67">
        <v>10000000</v>
      </c>
      <c r="E537" s="67"/>
      <c r="F537" s="61" t="str">
        <f t="shared" si="8"/>
        <v>借</v>
      </c>
      <c r="G537" s="64">
        <f>SUM(D$6:E537)</f>
        <v>174379687</v>
      </c>
      <c r="H537" s="61"/>
      <c r="I537" s="61" t="s">
        <v>556</v>
      </c>
      <c r="J537" s="61" t="s">
        <v>114</v>
      </c>
      <c r="K537" s="64">
        <v>10000000</v>
      </c>
      <c r="L537" s="61" t="s">
        <v>549</v>
      </c>
      <c r="M537" s="65" t="s">
        <v>557</v>
      </c>
      <c r="N537" s="61"/>
      <c r="O537" s="61"/>
      <c r="P537" s="61"/>
      <c r="Q537" s="61"/>
      <c r="R537" s="61">
        <v>535859</v>
      </c>
      <c r="S537" s="66" t="s">
        <v>845</v>
      </c>
    </row>
    <row r="538" spans="1:19">
      <c r="A538" s="61" t="s">
        <v>537</v>
      </c>
      <c r="B538" s="62">
        <v>46064</v>
      </c>
      <c r="C538" s="63" t="s">
        <v>1804</v>
      </c>
      <c r="D538" s="67">
        <v>340577</v>
      </c>
      <c r="E538" s="67"/>
      <c r="F538" s="61" t="str">
        <f t="shared" si="8"/>
        <v>借</v>
      </c>
      <c r="G538" s="64">
        <f>SUM(D$6:E538)</f>
        <v>174720264</v>
      </c>
      <c r="H538" s="61" t="s">
        <v>610</v>
      </c>
      <c r="I538" s="61" t="s">
        <v>620</v>
      </c>
      <c r="J538" s="61" t="s">
        <v>114</v>
      </c>
      <c r="K538" s="64">
        <v>340577</v>
      </c>
      <c r="L538" s="61"/>
      <c r="M538" s="65" t="s">
        <v>590</v>
      </c>
      <c r="N538" s="61"/>
      <c r="O538" s="61"/>
      <c r="P538" s="61"/>
      <c r="Q538" s="61"/>
      <c r="R538" s="61">
        <v>538423</v>
      </c>
      <c r="S538" s="66" t="s">
        <v>1478</v>
      </c>
    </row>
    <row r="539" spans="1:19">
      <c r="A539" s="61" t="s">
        <v>537</v>
      </c>
      <c r="B539" s="62">
        <v>46064</v>
      </c>
      <c r="C539" s="63" t="s">
        <v>1805</v>
      </c>
      <c r="D539" s="67">
        <v>40000000</v>
      </c>
      <c r="E539" s="67"/>
      <c r="F539" s="61" t="str">
        <f t="shared" si="8"/>
        <v>借</v>
      </c>
      <c r="G539" s="64">
        <f>SUM(D$6:E539)</f>
        <v>214720264</v>
      </c>
      <c r="H539" s="61"/>
      <c r="I539" s="61" t="s">
        <v>556</v>
      </c>
      <c r="J539" s="61" t="s">
        <v>114</v>
      </c>
      <c r="K539" s="64">
        <v>40000000</v>
      </c>
      <c r="L539" s="61" t="s">
        <v>549</v>
      </c>
      <c r="M539" s="65" t="s">
        <v>557</v>
      </c>
      <c r="N539" s="61"/>
      <c r="O539" s="61"/>
      <c r="P539" s="61"/>
      <c r="Q539" s="61"/>
      <c r="R539" s="61">
        <v>537006</v>
      </c>
      <c r="S539" s="66" t="s">
        <v>845</v>
      </c>
    </row>
    <row r="540" spans="1:19">
      <c r="A540" s="61" t="s">
        <v>537</v>
      </c>
      <c r="B540" s="62">
        <v>46065</v>
      </c>
      <c r="C540" s="63" t="s">
        <v>1564</v>
      </c>
      <c r="D540" s="67"/>
      <c r="E540" s="67">
        <v>-97897</v>
      </c>
      <c r="F540" s="61" t="str">
        <f t="shared" si="8"/>
        <v>借</v>
      </c>
      <c r="G540" s="64">
        <f>SUM(D$6:E540)</f>
        <v>214622367</v>
      </c>
      <c r="H540" s="61" t="s">
        <v>606</v>
      </c>
      <c r="I540" s="61" t="s">
        <v>625</v>
      </c>
      <c r="J540" s="61" t="s">
        <v>114</v>
      </c>
      <c r="K540" s="64">
        <v>-97897</v>
      </c>
      <c r="L540" s="61"/>
      <c r="M540" s="65" t="s">
        <v>590</v>
      </c>
      <c r="N540" s="61"/>
      <c r="O540" s="61"/>
      <c r="P540" s="61"/>
      <c r="Q540" s="61"/>
      <c r="R540" s="61">
        <v>536796</v>
      </c>
      <c r="S540" s="66" t="s">
        <v>1478</v>
      </c>
    </row>
    <row r="541" spans="1:19">
      <c r="A541" s="61" t="s">
        <v>537</v>
      </c>
      <c r="B541" s="62">
        <v>46065</v>
      </c>
      <c r="C541" s="63" t="s">
        <v>1563</v>
      </c>
      <c r="D541" s="67">
        <v>167681</v>
      </c>
      <c r="E541" s="67"/>
      <c r="F541" s="61" t="str">
        <f t="shared" si="8"/>
        <v>借</v>
      </c>
      <c r="G541" s="64">
        <f>SUM(D$6:E541)</f>
        <v>214790048</v>
      </c>
      <c r="H541" s="61" t="s">
        <v>610</v>
      </c>
      <c r="I541" s="61" t="s">
        <v>620</v>
      </c>
      <c r="J541" s="61" t="s">
        <v>114</v>
      </c>
      <c r="K541" s="64">
        <v>167681</v>
      </c>
      <c r="L541" s="61"/>
      <c r="M541" s="65" t="s">
        <v>590</v>
      </c>
      <c r="N541" s="61"/>
      <c r="O541" s="61"/>
      <c r="P541" s="61"/>
      <c r="Q541" s="61"/>
      <c r="R541" s="61">
        <v>536796</v>
      </c>
      <c r="S541" s="66" t="s">
        <v>1478</v>
      </c>
    </row>
    <row r="542" spans="1:19">
      <c r="A542" s="61" t="s">
        <v>537</v>
      </c>
      <c r="B542" s="62">
        <v>46066</v>
      </c>
      <c r="C542" s="63" t="s">
        <v>1806</v>
      </c>
      <c r="D542" s="67"/>
      <c r="E542" s="67">
        <v>-30246</v>
      </c>
      <c r="F542" s="61" t="str">
        <f t="shared" si="8"/>
        <v>借</v>
      </c>
      <c r="G542" s="64">
        <f>SUM(D$6:E542)</f>
        <v>214759802</v>
      </c>
      <c r="H542" s="61" t="s">
        <v>606</v>
      </c>
      <c r="I542" s="61" t="s">
        <v>625</v>
      </c>
      <c r="J542" s="61" t="s">
        <v>114</v>
      </c>
      <c r="K542" s="64">
        <v>-30246</v>
      </c>
      <c r="L542" s="61"/>
      <c r="M542" s="65" t="s">
        <v>590</v>
      </c>
      <c r="N542" s="61"/>
      <c r="O542" s="61"/>
      <c r="P542" s="61"/>
      <c r="Q542" s="61"/>
      <c r="R542" s="61">
        <v>538987</v>
      </c>
      <c r="S542" s="66" t="s">
        <v>1478</v>
      </c>
    </row>
    <row r="543" spans="1:19">
      <c r="A543" s="61" t="s">
        <v>537</v>
      </c>
      <c r="B543" s="62">
        <v>46066</v>
      </c>
      <c r="C543" s="63" t="s">
        <v>1807</v>
      </c>
      <c r="D543" s="67"/>
      <c r="E543" s="67">
        <v>-30246</v>
      </c>
      <c r="F543" s="61" t="str">
        <f t="shared" si="8"/>
        <v>借</v>
      </c>
      <c r="G543" s="64">
        <f>SUM(D$6:E543)</f>
        <v>214729556</v>
      </c>
      <c r="H543" s="61" t="s">
        <v>610</v>
      </c>
      <c r="I543" s="61" t="s">
        <v>625</v>
      </c>
      <c r="J543" s="61" t="s">
        <v>114</v>
      </c>
      <c r="K543" s="64">
        <v>-30246</v>
      </c>
      <c r="L543" s="61"/>
      <c r="M543" s="65" t="s">
        <v>590</v>
      </c>
      <c r="N543" s="61"/>
      <c r="O543" s="61"/>
      <c r="P543" s="61"/>
      <c r="Q543" s="61"/>
      <c r="R543" s="61">
        <v>538987</v>
      </c>
      <c r="S543" s="66" t="s">
        <v>1478</v>
      </c>
    </row>
    <row r="544" spans="1:19">
      <c r="A544" s="61" t="s">
        <v>537</v>
      </c>
      <c r="B544" s="62">
        <v>46076</v>
      </c>
      <c r="C544" s="63" t="s">
        <v>1808</v>
      </c>
      <c r="D544" s="67"/>
      <c r="E544" s="67">
        <v>-722618</v>
      </c>
      <c r="F544" s="61" t="str">
        <f t="shared" si="8"/>
        <v>借</v>
      </c>
      <c r="G544" s="64">
        <f>SUM(D$6:E544)</f>
        <v>214006938</v>
      </c>
      <c r="H544" s="61" t="s">
        <v>606</v>
      </c>
      <c r="I544" s="61" t="s">
        <v>625</v>
      </c>
      <c r="J544" s="61" t="s">
        <v>114</v>
      </c>
      <c r="K544" s="64">
        <v>-722618</v>
      </c>
      <c r="L544" s="61"/>
      <c r="M544" s="65" t="s">
        <v>590</v>
      </c>
      <c r="N544" s="61"/>
      <c r="O544" s="61"/>
      <c r="P544" s="61"/>
      <c r="Q544" s="61"/>
      <c r="R544" s="61">
        <v>537642</v>
      </c>
      <c r="S544" s="66" t="s">
        <v>1478</v>
      </c>
    </row>
    <row r="545" spans="1:19">
      <c r="A545" s="61" t="s">
        <v>537</v>
      </c>
      <c r="B545" s="62">
        <v>46077</v>
      </c>
      <c r="C545" s="63" t="s">
        <v>1809</v>
      </c>
      <c r="D545" s="67"/>
      <c r="E545" s="67">
        <v>-101326</v>
      </c>
      <c r="F545" s="61" t="str">
        <f t="shared" si="8"/>
        <v>借</v>
      </c>
      <c r="G545" s="64">
        <f>SUM(D$6:E545)</f>
        <v>213905612</v>
      </c>
      <c r="H545" s="61" t="s">
        <v>610</v>
      </c>
      <c r="I545" s="61" t="s">
        <v>625</v>
      </c>
      <c r="J545" s="61" t="s">
        <v>114</v>
      </c>
      <c r="K545" s="64">
        <v>-101326</v>
      </c>
      <c r="L545" s="61"/>
      <c r="M545" s="65" t="s">
        <v>406</v>
      </c>
      <c r="N545" s="61"/>
      <c r="O545" s="61"/>
      <c r="P545" s="61"/>
      <c r="Q545" s="61"/>
      <c r="R545" s="61">
        <v>538251</v>
      </c>
      <c r="S545" s="66" t="s">
        <v>1478</v>
      </c>
    </row>
    <row r="546" spans="1:19">
      <c r="A546" s="61" t="s">
        <v>537</v>
      </c>
      <c r="B546" s="62">
        <v>46077</v>
      </c>
      <c r="C546" s="63" t="s">
        <v>1810</v>
      </c>
      <c r="D546" s="67"/>
      <c r="E546" s="67">
        <v>-101326</v>
      </c>
      <c r="F546" s="61" t="str">
        <f t="shared" si="8"/>
        <v>借</v>
      </c>
      <c r="G546" s="64">
        <f>SUM(D$6:E546)</f>
        <v>213804286</v>
      </c>
      <c r="H546" s="61" t="s">
        <v>610</v>
      </c>
      <c r="I546" s="61" t="s">
        <v>625</v>
      </c>
      <c r="J546" s="61" t="s">
        <v>114</v>
      </c>
      <c r="K546" s="64">
        <v>-101326</v>
      </c>
      <c r="L546" s="61"/>
      <c r="M546" s="65" t="s">
        <v>590</v>
      </c>
      <c r="N546" s="61"/>
      <c r="O546" s="61"/>
      <c r="P546" s="61"/>
      <c r="Q546" s="61"/>
      <c r="R546" s="61">
        <v>537997</v>
      </c>
      <c r="S546" s="66" t="s">
        <v>1478</v>
      </c>
    </row>
    <row r="547" spans="1:19">
      <c r="A547" s="61" t="s">
        <v>537</v>
      </c>
      <c r="B547" s="62">
        <v>46078</v>
      </c>
      <c r="C547" s="63" t="s">
        <v>1811</v>
      </c>
      <c r="D547" s="67"/>
      <c r="E547" s="67">
        <v>-281671</v>
      </c>
      <c r="F547" s="61" t="str">
        <f t="shared" si="8"/>
        <v>借</v>
      </c>
      <c r="G547" s="64">
        <f>SUM(D$6:E547)</f>
        <v>213522615</v>
      </c>
      <c r="H547" s="61" t="s">
        <v>610</v>
      </c>
      <c r="I547" s="61" t="s">
        <v>625</v>
      </c>
      <c r="J547" s="61" t="s">
        <v>114</v>
      </c>
      <c r="K547" s="64">
        <v>-281671</v>
      </c>
      <c r="L547" s="61"/>
      <c r="M547" s="65" t="s">
        <v>590</v>
      </c>
      <c r="N547" s="61"/>
      <c r="O547" s="61"/>
      <c r="P547" s="61"/>
      <c r="Q547" s="61"/>
      <c r="R547" s="61">
        <v>538232</v>
      </c>
      <c r="S547" s="66" t="s">
        <v>1478</v>
      </c>
    </row>
    <row r="548" spans="1:19">
      <c r="A548" s="61" t="s">
        <v>537</v>
      </c>
      <c r="B548" s="62">
        <v>46078</v>
      </c>
      <c r="C548" s="63" t="s">
        <v>1812</v>
      </c>
      <c r="D548" s="67"/>
      <c r="E548" s="67">
        <v>-90738</v>
      </c>
      <c r="F548" s="61" t="str">
        <f t="shared" si="8"/>
        <v>借</v>
      </c>
      <c r="G548" s="64">
        <f>SUM(D$6:E548)</f>
        <v>213431877</v>
      </c>
      <c r="H548" s="61" t="s">
        <v>606</v>
      </c>
      <c r="I548" s="61" t="s">
        <v>625</v>
      </c>
      <c r="J548" s="61" t="s">
        <v>114</v>
      </c>
      <c r="K548" s="64">
        <v>-90738</v>
      </c>
      <c r="L548" s="61"/>
      <c r="M548" s="65" t="s">
        <v>590</v>
      </c>
      <c r="N548" s="61"/>
      <c r="O548" s="61"/>
      <c r="P548" s="61"/>
      <c r="Q548" s="61"/>
      <c r="R548" s="61">
        <v>538232</v>
      </c>
      <c r="S548" s="66" t="s">
        <v>1478</v>
      </c>
    </row>
    <row r="549" spans="1:19">
      <c r="A549" s="61" t="s">
        <v>537</v>
      </c>
      <c r="B549" s="62">
        <v>46079</v>
      </c>
      <c r="C549" s="63" t="s">
        <v>1813</v>
      </c>
      <c r="D549" s="67"/>
      <c r="E549" s="67">
        <v>-620137</v>
      </c>
      <c r="F549" s="61" t="str">
        <f t="shared" si="8"/>
        <v>借</v>
      </c>
      <c r="G549" s="64">
        <f>SUM(D$6:E549)</f>
        <v>212811740</v>
      </c>
      <c r="H549" s="61" t="s">
        <v>606</v>
      </c>
      <c r="I549" s="61" t="s">
        <v>625</v>
      </c>
      <c r="J549" s="61" t="s">
        <v>114</v>
      </c>
      <c r="K549" s="64">
        <v>-620137</v>
      </c>
      <c r="L549" s="61"/>
      <c r="M549" s="65" t="s">
        <v>590</v>
      </c>
      <c r="N549" s="61"/>
      <c r="O549" s="61"/>
      <c r="P549" s="61"/>
      <c r="Q549" s="61"/>
      <c r="R549" s="61">
        <v>538593</v>
      </c>
      <c r="S549" s="66" t="s">
        <v>1478</v>
      </c>
    </row>
    <row r="550" spans="1:19">
      <c r="A550" s="61" t="s">
        <v>537</v>
      </c>
      <c r="B550" s="62">
        <v>46079</v>
      </c>
      <c r="C550" s="63" t="s">
        <v>1814</v>
      </c>
      <c r="D550" s="67"/>
      <c r="E550" s="67">
        <v>-371602</v>
      </c>
      <c r="F550" s="61" t="str">
        <f t="shared" si="8"/>
        <v>借</v>
      </c>
      <c r="G550" s="64">
        <f>SUM(D$6:E550)</f>
        <v>212440138</v>
      </c>
      <c r="H550" s="61" t="s">
        <v>610</v>
      </c>
      <c r="I550" s="61" t="s">
        <v>625</v>
      </c>
      <c r="J550" s="61" t="s">
        <v>114</v>
      </c>
      <c r="K550" s="64">
        <v>-371602</v>
      </c>
      <c r="L550" s="61"/>
      <c r="M550" s="65" t="s">
        <v>590</v>
      </c>
      <c r="N550" s="61"/>
      <c r="O550" s="61"/>
      <c r="P550" s="61"/>
      <c r="Q550" s="61"/>
      <c r="R550" s="61">
        <v>538593</v>
      </c>
      <c r="S550" s="66" t="s">
        <v>1478</v>
      </c>
    </row>
    <row r="551" spans="1:19">
      <c r="A551" s="61" t="s">
        <v>537</v>
      </c>
      <c r="B551" s="62">
        <v>46079</v>
      </c>
      <c r="C551" s="63" t="s">
        <v>1815</v>
      </c>
      <c r="D551" s="67"/>
      <c r="E551" s="67">
        <v>-141683</v>
      </c>
      <c r="F551" s="61" t="str">
        <f t="shared" si="8"/>
        <v>借</v>
      </c>
      <c r="G551" s="64">
        <f>SUM(D$6:E551)</f>
        <v>212298455</v>
      </c>
      <c r="H551" s="61" t="s">
        <v>610</v>
      </c>
      <c r="I551" s="61" t="s">
        <v>1816</v>
      </c>
      <c r="J551" s="61" t="s">
        <v>114</v>
      </c>
      <c r="K551" s="64">
        <v>-141683</v>
      </c>
      <c r="L551" s="61"/>
      <c r="M551" s="65" t="s">
        <v>590</v>
      </c>
      <c r="N551" s="61"/>
      <c r="O551" s="61"/>
      <c r="P551" s="61"/>
      <c r="Q551" s="61"/>
      <c r="R551" s="61">
        <v>539648</v>
      </c>
      <c r="S551" s="66" t="s">
        <v>1478</v>
      </c>
    </row>
    <row r="552" spans="1:19">
      <c r="A552" s="61" t="s">
        <v>537</v>
      </c>
      <c r="B552" s="62">
        <v>46079</v>
      </c>
      <c r="C552" s="63" t="s">
        <v>1817</v>
      </c>
      <c r="D552" s="67"/>
      <c r="E552" s="67">
        <v>-105708</v>
      </c>
      <c r="F552" s="61" t="str">
        <f t="shared" si="8"/>
        <v>借</v>
      </c>
      <c r="G552" s="64">
        <f>SUM(D$6:E552)</f>
        <v>212192747</v>
      </c>
      <c r="H552" s="61" t="s">
        <v>606</v>
      </c>
      <c r="I552" s="61" t="s">
        <v>1816</v>
      </c>
      <c r="J552" s="61" t="s">
        <v>114</v>
      </c>
      <c r="K552" s="64">
        <v>-105708</v>
      </c>
      <c r="L552" s="61"/>
      <c r="M552" s="65" t="s">
        <v>590</v>
      </c>
      <c r="N552" s="61"/>
      <c r="O552" s="61"/>
      <c r="P552" s="61"/>
      <c r="Q552" s="61"/>
      <c r="R552" s="61">
        <v>539648</v>
      </c>
      <c r="S552" s="66" t="s">
        <v>1478</v>
      </c>
    </row>
    <row r="553" spans="1:19">
      <c r="A553" s="61" t="s">
        <v>537</v>
      </c>
      <c r="B553" s="62">
        <v>46079</v>
      </c>
      <c r="C553" s="63" t="s">
        <v>1818</v>
      </c>
      <c r="D553" s="67">
        <v>14667</v>
      </c>
      <c r="E553" s="67"/>
      <c r="F553" s="61" t="str">
        <f t="shared" si="8"/>
        <v>借</v>
      </c>
      <c r="G553" s="64">
        <f>SUM(D$6:E553)</f>
        <v>212207414</v>
      </c>
      <c r="H553" s="61" t="s">
        <v>606</v>
      </c>
      <c r="I553" s="61" t="s">
        <v>613</v>
      </c>
      <c r="J553" s="61" t="s">
        <v>114</v>
      </c>
      <c r="K553" s="64">
        <v>14667</v>
      </c>
      <c r="L553" s="61"/>
      <c r="M553" s="65" t="s">
        <v>590</v>
      </c>
      <c r="N553" s="61"/>
      <c r="O553" s="61"/>
      <c r="P553" s="61"/>
      <c r="Q553" s="61"/>
      <c r="R553" s="61">
        <v>539319</v>
      </c>
      <c r="S553" s="66" t="s">
        <v>252</v>
      </c>
    </row>
    <row r="554" spans="1:19">
      <c r="A554" s="61" t="s">
        <v>537</v>
      </c>
      <c r="B554" s="62">
        <v>46079</v>
      </c>
      <c r="C554" s="63" t="s">
        <v>1819</v>
      </c>
      <c r="D554" s="67">
        <v>101326</v>
      </c>
      <c r="E554" s="67"/>
      <c r="F554" s="61" t="str">
        <f t="shared" si="8"/>
        <v>借</v>
      </c>
      <c r="G554" s="64">
        <f>SUM(D$6:E554)</f>
        <v>212308740</v>
      </c>
      <c r="H554" s="61" t="s">
        <v>610</v>
      </c>
      <c r="I554" s="61" t="s">
        <v>1820</v>
      </c>
      <c r="J554" s="61" t="s">
        <v>114</v>
      </c>
      <c r="K554" s="64">
        <v>101326</v>
      </c>
      <c r="L554" s="61"/>
      <c r="M554" s="65" t="s">
        <v>590</v>
      </c>
      <c r="N554" s="61"/>
      <c r="O554" s="61"/>
      <c r="P554" s="61"/>
      <c r="Q554" s="61"/>
      <c r="R554" s="61">
        <v>539517</v>
      </c>
      <c r="S554" s="66" t="s">
        <v>1478</v>
      </c>
    </row>
    <row r="555" spans="1:19">
      <c r="A555" s="61" t="s">
        <v>537</v>
      </c>
      <c r="B555" s="62">
        <v>46079</v>
      </c>
      <c r="C555" s="63" t="s">
        <v>1821</v>
      </c>
      <c r="D555" s="67">
        <v>112884</v>
      </c>
      <c r="E555" s="67"/>
      <c r="F555" s="61" t="str">
        <f t="shared" si="8"/>
        <v>借</v>
      </c>
      <c r="G555" s="64">
        <f>SUM(D$6:E555)</f>
        <v>212421624</v>
      </c>
      <c r="H555" s="61" t="s">
        <v>606</v>
      </c>
      <c r="I555" s="61" t="s">
        <v>1816</v>
      </c>
      <c r="J555" s="61" t="s">
        <v>114</v>
      </c>
      <c r="K555" s="64">
        <v>112884</v>
      </c>
      <c r="L555" s="61"/>
      <c r="M555" s="65" t="s">
        <v>590</v>
      </c>
      <c r="N555" s="61"/>
      <c r="O555" s="61"/>
      <c r="P555" s="61"/>
      <c r="Q555" s="61"/>
      <c r="R555" s="61">
        <v>539648</v>
      </c>
      <c r="S555" s="66" t="s">
        <v>1478</v>
      </c>
    </row>
    <row r="556" spans="1:19">
      <c r="A556" s="61" t="s">
        <v>537</v>
      </c>
      <c r="B556" s="62">
        <v>46079</v>
      </c>
      <c r="C556" s="63" t="s">
        <v>1822</v>
      </c>
      <c r="D556" s="67">
        <v>152584</v>
      </c>
      <c r="E556" s="67"/>
      <c r="F556" s="61" t="str">
        <f t="shared" si="8"/>
        <v>借</v>
      </c>
      <c r="G556" s="64">
        <f>SUM(D$6:E556)</f>
        <v>212574208</v>
      </c>
      <c r="H556" s="61" t="s">
        <v>610</v>
      </c>
      <c r="I556" s="61" t="s">
        <v>1816</v>
      </c>
      <c r="J556" s="61" t="s">
        <v>114</v>
      </c>
      <c r="K556" s="64">
        <v>152584</v>
      </c>
      <c r="L556" s="61"/>
      <c r="M556" s="65" t="s">
        <v>590</v>
      </c>
      <c r="N556" s="61"/>
      <c r="O556" s="61"/>
      <c r="P556" s="61"/>
      <c r="Q556" s="61"/>
      <c r="R556" s="61">
        <v>539648</v>
      </c>
      <c r="S556" s="66" t="s">
        <v>1478</v>
      </c>
    </row>
    <row r="557" spans="1:19">
      <c r="A557" s="61" t="s">
        <v>537</v>
      </c>
      <c r="B557" s="62">
        <v>46083</v>
      </c>
      <c r="C557" s="63" t="s">
        <v>2040</v>
      </c>
      <c r="D557" s="67"/>
      <c r="E557" s="67">
        <v>-101326</v>
      </c>
      <c r="F557" s="61" t="str">
        <f t="shared" si="8"/>
        <v>借</v>
      </c>
      <c r="G557" s="64">
        <f>SUM(D$6:E557)</f>
        <v>212472882</v>
      </c>
      <c r="H557" s="61" t="s">
        <v>610</v>
      </c>
      <c r="I557" s="61" t="s">
        <v>625</v>
      </c>
      <c r="J557" s="61" t="s">
        <v>114</v>
      </c>
      <c r="K557" s="64">
        <v>-101326</v>
      </c>
      <c r="L557" s="61"/>
      <c r="M557" s="65" t="s">
        <v>590</v>
      </c>
      <c r="N557" s="61"/>
      <c r="O557" s="61"/>
      <c r="P557" s="61"/>
      <c r="Q557" s="61"/>
      <c r="R557" s="61">
        <v>541528</v>
      </c>
      <c r="S557" s="66" t="s">
        <v>1478</v>
      </c>
    </row>
    <row r="558" spans="1:19">
      <c r="A558" s="61" t="s">
        <v>537</v>
      </c>
      <c r="B558" s="62">
        <v>46083</v>
      </c>
      <c r="C558" s="63" t="s">
        <v>2041</v>
      </c>
      <c r="D558" s="67">
        <v>101326</v>
      </c>
      <c r="E558" s="67"/>
      <c r="F558" s="61" t="str">
        <f t="shared" si="8"/>
        <v>借</v>
      </c>
      <c r="G558" s="64">
        <f>SUM(D$6:E558)</f>
        <v>212574208</v>
      </c>
      <c r="H558" s="61" t="s">
        <v>610</v>
      </c>
      <c r="I558" s="61" t="s">
        <v>625</v>
      </c>
      <c r="J558" s="61" t="s">
        <v>114</v>
      </c>
      <c r="K558" s="64">
        <v>101326</v>
      </c>
      <c r="L558" s="61"/>
      <c r="M558" s="65" t="s">
        <v>406</v>
      </c>
      <c r="N558" s="61"/>
      <c r="O558" s="61"/>
      <c r="P558" s="61"/>
      <c r="Q558" s="61"/>
      <c r="R558" s="61">
        <v>541528</v>
      </c>
      <c r="S558" s="66" t="s">
        <v>1478</v>
      </c>
    </row>
    <row r="559" spans="1:19">
      <c r="A559" s="61" t="s">
        <v>537</v>
      </c>
      <c r="B559" s="62">
        <v>46083</v>
      </c>
      <c r="C559" s="63" t="s">
        <v>1823</v>
      </c>
      <c r="D559" s="67">
        <v>109920</v>
      </c>
      <c r="E559" s="67"/>
      <c r="F559" s="61" t="str">
        <f t="shared" si="8"/>
        <v>借</v>
      </c>
      <c r="G559" s="64">
        <f>SUM(D$6:E559)</f>
        <v>212684128</v>
      </c>
      <c r="H559" s="61" t="s">
        <v>610</v>
      </c>
      <c r="I559" s="61" t="s">
        <v>620</v>
      </c>
      <c r="J559" s="61" t="s">
        <v>114</v>
      </c>
      <c r="K559" s="64">
        <v>109920</v>
      </c>
      <c r="L559" s="61"/>
      <c r="M559" s="65" t="s">
        <v>590</v>
      </c>
      <c r="N559" s="61"/>
      <c r="O559" s="61"/>
      <c r="P559" s="61"/>
      <c r="Q559" s="61"/>
      <c r="R559" s="61">
        <v>540611</v>
      </c>
      <c r="S559" s="66" t="s">
        <v>1478</v>
      </c>
    </row>
    <row r="560" spans="1:19">
      <c r="A560" s="61" t="s">
        <v>537</v>
      </c>
      <c r="B560" s="62">
        <v>46083</v>
      </c>
      <c r="C560" s="63" t="s">
        <v>1824</v>
      </c>
      <c r="D560" s="67">
        <v>115808</v>
      </c>
      <c r="E560" s="67"/>
      <c r="F560" s="61" t="str">
        <f t="shared" si="8"/>
        <v>借</v>
      </c>
      <c r="G560" s="64">
        <f>SUM(D$6:E560)</f>
        <v>212799936</v>
      </c>
      <c r="H560" s="61" t="s">
        <v>606</v>
      </c>
      <c r="I560" s="61" t="s">
        <v>620</v>
      </c>
      <c r="J560" s="61" t="s">
        <v>114</v>
      </c>
      <c r="K560" s="64">
        <v>115808</v>
      </c>
      <c r="L560" s="61"/>
      <c r="M560" s="65" t="s">
        <v>590</v>
      </c>
      <c r="N560" s="61"/>
      <c r="O560" s="61"/>
      <c r="P560" s="61"/>
      <c r="Q560" s="61"/>
      <c r="R560" s="61">
        <v>540611</v>
      </c>
      <c r="S560" s="66" t="s">
        <v>1478</v>
      </c>
    </row>
    <row r="561" spans="1:19">
      <c r="A561" s="61" t="s">
        <v>537</v>
      </c>
      <c r="B561" s="62">
        <v>46084</v>
      </c>
      <c r="C561" s="63" t="s">
        <v>1825</v>
      </c>
      <c r="D561" s="67"/>
      <c r="E561" s="67">
        <v>-614612</v>
      </c>
      <c r="F561" s="61" t="str">
        <f t="shared" si="8"/>
        <v>借</v>
      </c>
      <c r="G561" s="64">
        <f>SUM(D$6:E561)</f>
        <v>212185324</v>
      </c>
      <c r="H561" s="61" t="s">
        <v>610</v>
      </c>
      <c r="I561" s="61" t="s">
        <v>625</v>
      </c>
      <c r="J561" s="61" t="s">
        <v>114</v>
      </c>
      <c r="K561" s="64">
        <v>-614612</v>
      </c>
      <c r="L561" s="61"/>
      <c r="M561" s="65" t="s">
        <v>590</v>
      </c>
      <c r="N561" s="61"/>
      <c r="O561" s="61"/>
      <c r="P561" s="61"/>
      <c r="Q561" s="61"/>
      <c r="R561" s="61">
        <v>539184</v>
      </c>
      <c r="S561" s="66" t="s">
        <v>1478</v>
      </c>
    </row>
    <row r="562" spans="1:19">
      <c r="A562" s="61" t="s">
        <v>537</v>
      </c>
      <c r="B562" s="62">
        <v>46084</v>
      </c>
      <c r="C562" s="63" t="s">
        <v>1826</v>
      </c>
      <c r="D562" s="67">
        <v>305753</v>
      </c>
      <c r="E562" s="67"/>
      <c r="F562" s="61" t="str">
        <f t="shared" si="8"/>
        <v>借</v>
      </c>
      <c r="G562" s="64">
        <f>SUM(D$6:E562)</f>
        <v>212491077</v>
      </c>
      <c r="H562" s="61" t="s">
        <v>606</v>
      </c>
      <c r="I562" s="61" t="s">
        <v>620</v>
      </c>
      <c r="J562" s="61" t="s">
        <v>114</v>
      </c>
      <c r="K562" s="64">
        <v>305753</v>
      </c>
      <c r="L562" s="61"/>
      <c r="M562" s="65" t="s">
        <v>590</v>
      </c>
      <c r="N562" s="61"/>
      <c r="O562" s="61"/>
      <c r="P562" s="61"/>
      <c r="Q562" s="61"/>
      <c r="R562" s="61">
        <v>539184</v>
      </c>
      <c r="S562" s="66" t="s">
        <v>1478</v>
      </c>
    </row>
    <row r="563" spans="1:19">
      <c r="A563" s="61" t="s">
        <v>537</v>
      </c>
      <c r="B563" s="62">
        <v>46085</v>
      </c>
      <c r="C563" s="63" t="s">
        <v>1827</v>
      </c>
      <c r="D563" s="67"/>
      <c r="E563" s="67">
        <v>-102279</v>
      </c>
      <c r="F563" s="61" t="str">
        <f t="shared" si="8"/>
        <v>借</v>
      </c>
      <c r="G563" s="64">
        <f>SUM(D$6:E563)</f>
        <v>212388798</v>
      </c>
      <c r="H563" s="61" t="s">
        <v>610</v>
      </c>
      <c r="I563" s="61" t="s">
        <v>625</v>
      </c>
      <c r="J563" s="61" t="s">
        <v>114</v>
      </c>
      <c r="K563" s="64">
        <v>-102279</v>
      </c>
      <c r="L563" s="61"/>
      <c r="M563" s="65" t="s">
        <v>590</v>
      </c>
      <c r="N563" s="61"/>
      <c r="O563" s="61"/>
      <c r="P563" s="61"/>
      <c r="Q563" s="61"/>
      <c r="R563" s="61">
        <v>540658</v>
      </c>
      <c r="S563" s="66" t="s">
        <v>1478</v>
      </c>
    </row>
    <row r="564" spans="1:19">
      <c r="A564" s="61" t="s">
        <v>537</v>
      </c>
      <c r="B564" s="62">
        <v>46085</v>
      </c>
      <c r="C564" s="63" t="s">
        <v>1828</v>
      </c>
      <c r="D564" s="67">
        <v>111945</v>
      </c>
      <c r="E564" s="67"/>
      <c r="F564" s="61" t="str">
        <f t="shared" si="8"/>
        <v>借</v>
      </c>
      <c r="G564" s="64">
        <f>SUM(D$6:E564)</f>
        <v>212500743</v>
      </c>
      <c r="H564" s="61" t="s">
        <v>606</v>
      </c>
      <c r="I564" s="61" t="s">
        <v>620</v>
      </c>
      <c r="J564" s="61" t="s">
        <v>114</v>
      </c>
      <c r="K564" s="64">
        <v>111945</v>
      </c>
      <c r="L564" s="61"/>
      <c r="M564" s="65" t="s">
        <v>590</v>
      </c>
      <c r="N564" s="61"/>
      <c r="O564" s="61"/>
      <c r="P564" s="61"/>
      <c r="Q564" s="61"/>
      <c r="R564" s="61">
        <v>540658</v>
      </c>
      <c r="S564" s="66" t="s">
        <v>1478</v>
      </c>
    </row>
    <row r="565" spans="1:19">
      <c r="A565" s="61" t="s">
        <v>537</v>
      </c>
      <c r="B565" s="62">
        <v>46086</v>
      </c>
      <c r="C565" s="63" t="s">
        <v>1829</v>
      </c>
      <c r="D565" s="67">
        <v>207123</v>
      </c>
      <c r="E565" s="67"/>
      <c r="F565" s="61" t="str">
        <f t="shared" si="8"/>
        <v>借</v>
      </c>
      <c r="G565" s="64">
        <f>SUM(D$6:E565)</f>
        <v>212707866</v>
      </c>
      <c r="H565" s="61" t="s">
        <v>606</v>
      </c>
      <c r="I565" s="61" t="s">
        <v>620</v>
      </c>
      <c r="J565" s="61" t="s">
        <v>114</v>
      </c>
      <c r="K565" s="64">
        <v>207123</v>
      </c>
      <c r="L565" s="61"/>
      <c r="M565" s="65" t="s">
        <v>590</v>
      </c>
      <c r="N565" s="61"/>
      <c r="O565" s="61"/>
      <c r="P565" s="61"/>
      <c r="Q565" s="61"/>
      <c r="R565" s="61">
        <v>540659</v>
      </c>
      <c r="S565" s="66" t="s">
        <v>1478</v>
      </c>
    </row>
    <row r="566" spans="1:19">
      <c r="A566" s="61" t="s">
        <v>537</v>
      </c>
      <c r="B566" s="62">
        <v>46087</v>
      </c>
      <c r="C566" s="63" t="s">
        <v>1830</v>
      </c>
      <c r="D566" s="67"/>
      <c r="E566" s="67">
        <v>-190948</v>
      </c>
      <c r="F566" s="61" t="str">
        <f t="shared" si="8"/>
        <v>借</v>
      </c>
      <c r="G566" s="64">
        <f>SUM(D$6:E566)</f>
        <v>212516918</v>
      </c>
      <c r="H566" s="61" t="s">
        <v>606</v>
      </c>
      <c r="I566" s="61" t="s">
        <v>625</v>
      </c>
      <c r="J566" s="61" t="s">
        <v>114</v>
      </c>
      <c r="K566" s="64">
        <v>-190948</v>
      </c>
      <c r="L566" s="61"/>
      <c r="M566" s="65" t="s">
        <v>590</v>
      </c>
      <c r="N566" s="61"/>
      <c r="O566" s="61"/>
      <c r="P566" s="61"/>
      <c r="Q566" s="61"/>
      <c r="R566" s="61">
        <v>540455</v>
      </c>
      <c r="S566" s="66" t="s">
        <v>1478</v>
      </c>
    </row>
    <row r="567" spans="1:19">
      <c r="A567" s="61" t="s">
        <v>537</v>
      </c>
      <c r="B567" s="62">
        <v>46090</v>
      </c>
      <c r="C567" s="63" t="s">
        <v>1831</v>
      </c>
      <c r="D567" s="67"/>
      <c r="E567" s="67">
        <v>-305412</v>
      </c>
      <c r="F567" s="61" t="str">
        <f t="shared" si="8"/>
        <v>借</v>
      </c>
      <c r="G567" s="64">
        <f>SUM(D$6:E567)</f>
        <v>212211506</v>
      </c>
      <c r="H567" s="61" t="s">
        <v>610</v>
      </c>
      <c r="I567" s="61" t="s">
        <v>625</v>
      </c>
      <c r="J567" s="61" t="s">
        <v>114</v>
      </c>
      <c r="K567" s="64">
        <v>-305412</v>
      </c>
      <c r="L567" s="61"/>
      <c r="M567" s="65" t="s">
        <v>590</v>
      </c>
      <c r="N567" s="61"/>
      <c r="O567" s="61"/>
      <c r="P567" s="61"/>
      <c r="Q567" s="61"/>
      <c r="R567" s="61">
        <v>540660</v>
      </c>
      <c r="S567" s="66" t="s">
        <v>1478</v>
      </c>
    </row>
    <row r="568" spans="1:19">
      <c r="A568" s="61" t="s">
        <v>537</v>
      </c>
      <c r="B568" s="62">
        <v>46090</v>
      </c>
      <c r="C568" s="63" t="s">
        <v>1832</v>
      </c>
      <c r="D568" s="67">
        <v>1164233</v>
      </c>
      <c r="E568" s="67"/>
      <c r="F568" s="61" t="str">
        <f t="shared" si="8"/>
        <v>借</v>
      </c>
      <c r="G568" s="64">
        <f>SUM(D$6:E568)</f>
        <v>213375739</v>
      </c>
      <c r="H568" s="61" t="s">
        <v>606</v>
      </c>
      <c r="I568" s="61" t="s">
        <v>620</v>
      </c>
      <c r="J568" s="61" t="s">
        <v>114</v>
      </c>
      <c r="K568" s="64">
        <v>1164233</v>
      </c>
      <c r="L568" s="61"/>
      <c r="M568" s="65" t="s">
        <v>590</v>
      </c>
      <c r="N568" s="61"/>
      <c r="O568" s="61"/>
      <c r="P568" s="61"/>
      <c r="Q568" s="61"/>
      <c r="R568" s="61">
        <v>540660</v>
      </c>
      <c r="S568" s="66" t="s">
        <v>1478</v>
      </c>
    </row>
    <row r="569" spans="1:19">
      <c r="A569" s="61" t="s">
        <v>537</v>
      </c>
      <c r="B569" s="62">
        <v>46091</v>
      </c>
      <c r="C569" s="63" t="s">
        <v>1842</v>
      </c>
      <c r="D569" s="67"/>
      <c r="E569" s="67">
        <v>-549469</v>
      </c>
      <c r="F569" s="61" t="str">
        <f t="shared" si="8"/>
        <v>借</v>
      </c>
      <c r="G569" s="64">
        <f>SUM(D$6:E569)</f>
        <v>212826270</v>
      </c>
      <c r="H569" s="61" t="s">
        <v>610</v>
      </c>
      <c r="I569" s="61" t="s">
        <v>625</v>
      </c>
      <c r="J569" s="61" t="s">
        <v>114</v>
      </c>
      <c r="K569" s="64">
        <v>-549469</v>
      </c>
      <c r="L569" s="61"/>
      <c r="M569" s="65" t="s">
        <v>590</v>
      </c>
      <c r="N569" s="61"/>
      <c r="O569" s="61"/>
      <c r="P569" s="61"/>
      <c r="Q569" s="61"/>
      <c r="R569" s="61">
        <v>540979</v>
      </c>
      <c r="S569" s="66" t="s">
        <v>1478</v>
      </c>
    </row>
    <row r="570" spans="1:19">
      <c r="A570" s="61" t="s">
        <v>537</v>
      </c>
      <c r="B570" s="62">
        <v>46091</v>
      </c>
      <c r="C570" s="63" t="s">
        <v>1843</v>
      </c>
      <c r="D570" s="67">
        <v>132410</v>
      </c>
      <c r="E570" s="67"/>
      <c r="F570" s="61" t="str">
        <f t="shared" si="8"/>
        <v>借</v>
      </c>
      <c r="G570" s="64">
        <f>SUM(D$6:E570)</f>
        <v>212958680</v>
      </c>
      <c r="H570" s="61" t="s">
        <v>606</v>
      </c>
      <c r="I570" s="61" t="s">
        <v>620</v>
      </c>
      <c r="J570" s="61" t="s">
        <v>114</v>
      </c>
      <c r="K570" s="64">
        <v>132410</v>
      </c>
      <c r="L570" s="61"/>
      <c r="M570" s="65" t="s">
        <v>590</v>
      </c>
      <c r="N570" s="61"/>
      <c r="O570" s="61"/>
      <c r="P570" s="61"/>
      <c r="Q570" s="61"/>
      <c r="R570" s="61">
        <v>540979</v>
      </c>
      <c r="S570" s="66" t="s">
        <v>1478</v>
      </c>
    </row>
    <row r="571" spans="1:19">
      <c r="A571" s="61" t="s">
        <v>537</v>
      </c>
      <c r="B571" s="62">
        <v>46091</v>
      </c>
      <c r="C571" s="63" t="s">
        <v>3497</v>
      </c>
      <c r="D571" s="67">
        <v>8000000</v>
      </c>
      <c r="E571" s="67"/>
      <c r="F571" s="61" t="str">
        <f t="shared" si="8"/>
        <v>借</v>
      </c>
      <c r="G571" s="64">
        <f>SUM(D$6:E571)</f>
        <v>220958680</v>
      </c>
      <c r="H571" s="61" t="s">
        <v>606</v>
      </c>
      <c r="I571" s="61" t="s">
        <v>3498</v>
      </c>
      <c r="J571" s="61" t="s">
        <v>114</v>
      </c>
      <c r="K571" s="64">
        <v>8000000</v>
      </c>
      <c r="L571" s="61"/>
      <c r="M571" s="65" t="s">
        <v>590</v>
      </c>
      <c r="N571" s="61"/>
      <c r="O571" s="61"/>
      <c r="P571" s="61"/>
      <c r="Q571" s="61"/>
      <c r="R571" s="61">
        <v>546212</v>
      </c>
      <c r="S571" s="66" t="s">
        <v>1478</v>
      </c>
    </row>
    <row r="572" spans="1:19">
      <c r="A572" s="61" t="s">
        <v>537</v>
      </c>
      <c r="B572" s="62">
        <v>46092</v>
      </c>
      <c r="C572" s="63" t="s">
        <v>2042</v>
      </c>
      <c r="D572" s="67">
        <v>133348</v>
      </c>
      <c r="E572" s="67"/>
      <c r="F572" s="61" t="str">
        <f t="shared" si="8"/>
        <v>借</v>
      </c>
      <c r="G572" s="64">
        <f>SUM(D$6:E572)</f>
        <v>221092028</v>
      </c>
      <c r="H572" s="61" t="s">
        <v>606</v>
      </c>
      <c r="I572" s="61" t="s">
        <v>620</v>
      </c>
      <c r="J572" s="61" t="s">
        <v>114</v>
      </c>
      <c r="K572" s="64">
        <v>133348</v>
      </c>
      <c r="L572" s="61"/>
      <c r="M572" s="65" t="s">
        <v>590</v>
      </c>
      <c r="N572" s="61"/>
      <c r="O572" s="61"/>
      <c r="P572" s="61"/>
      <c r="Q572" s="61"/>
      <c r="R572" s="61">
        <v>541189</v>
      </c>
      <c r="S572" s="66" t="s">
        <v>1478</v>
      </c>
    </row>
    <row r="573" spans="1:19">
      <c r="A573" s="61" t="s">
        <v>537</v>
      </c>
      <c r="B573" s="62">
        <v>46092</v>
      </c>
      <c r="C573" s="63" t="s">
        <v>2043</v>
      </c>
      <c r="D573" s="67">
        <v>373907</v>
      </c>
      <c r="E573" s="67"/>
      <c r="F573" s="61" t="str">
        <f t="shared" si="8"/>
        <v>借</v>
      </c>
      <c r="G573" s="64">
        <f>SUM(D$6:E573)</f>
        <v>221465935</v>
      </c>
      <c r="H573" s="61" t="s">
        <v>610</v>
      </c>
      <c r="I573" s="61" t="s">
        <v>620</v>
      </c>
      <c r="J573" s="61" t="s">
        <v>114</v>
      </c>
      <c r="K573" s="64">
        <v>373907</v>
      </c>
      <c r="L573" s="61"/>
      <c r="M573" s="65" t="s">
        <v>590</v>
      </c>
      <c r="N573" s="61"/>
      <c r="O573" s="61"/>
      <c r="P573" s="61"/>
      <c r="Q573" s="61"/>
      <c r="R573" s="61">
        <v>541189</v>
      </c>
      <c r="S573" s="66" t="s">
        <v>1478</v>
      </c>
    </row>
    <row r="574" spans="1:19">
      <c r="A574" s="61" t="s">
        <v>537</v>
      </c>
      <c r="B574" s="62">
        <v>46093</v>
      </c>
      <c r="C574" s="63" t="s">
        <v>2044</v>
      </c>
      <c r="D574" s="67"/>
      <c r="E574" s="67">
        <v>-150656</v>
      </c>
      <c r="F574" s="61" t="str">
        <f t="shared" si="8"/>
        <v>借</v>
      </c>
      <c r="G574" s="64">
        <f>SUM(D$6:E574)</f>
        <v>221315279</v>
      </c>
      <c r="H574" s="61" t="s">
        <v>610</v>
      </c>
      <c r="I574" s="61" t="s">
        <v>625</v>
      </c>
      <c r="J574" s="61" t="s">
        <v>114</v>
      </c>
      <c r="K574" s="64">
        <v>-150656</v>
      </c>
      <c r="L574" s="61"/>
      <c r="M574" s="65" t="s">
        <v>590</v>
      </c>
      <c r="N574" s="61"/>
      <c r="O574" s="61"/>
      <c r="P574" s="61"/>
      <c r="Q574" s="61"/>
      <c r="R574" s="61">
        <v>541424</v>
      </c>
      <c r="S574" s="66" t="s">
        <v>1478</v>
      </c>
    </row>
    <row r="575" spans="1:19">
      <c r="A575" s="61" t="s">
        <v>537</v>
      </c>
      <c r="B575" s="62">
        <v>46093</v>
      </c>
      <c r="C575" s="63" t="s">
        <v>2045</v>
      </c>
      <c r="D575" s="67">
        <v>355068</v>
      </c>
      <c r="E575" s="67"/>
      <c r="F575" s="61" t="str">
        <f t="shared" si="8"/>
        <v>借</v>
      </c>
      <c r="G575" s="64">
        <f>SUM(D$6:E575)</f>
        <v>221670347</v>
      </c>
      <c r="H575" s="61" t="s">
        <v>606</v>
      </c>
      <c r="I575" s="61" t="s">
        <v>620</v>
      </c>
      <c r="J575" s="61" t="s">
        <v>114</v>
      </c>
      <c r="K575" s="64">
        <v>355068</v>
      </c>
      <c r="L575" s="61"/>
      <c r="M575" s="65" t="s">
        <v>590</v>
      </c>
      <c r="N575" s="61"/>
      <c r="O575" s="61"/>
      <c r="P575" s="61"/>
      <c r="Q575" s="61"/>
      <c r="R575" s="61">
        <v>541424</v>
      </c>
      <c r="S575" s="66" t="s">
        <v>1478</v>
      </c>
    </row>
    <row r="576" spans="1:19">
      <c r="A576" s="61" t="s">
        <v>537</v>
      </c>
      <c r="B576" s="62">
        <v>46094</v>
      </c>
      <c r="C576" s="63" t="s">
        <v>3499</v>
      </c>
      <c r="D576" s="67">
        <v>60130</v>
      </c>
      <c r="E576" s="67"/>
      <c r="F576" s="61" t="str">
        <f t="shared" si="8"/>
        <v>借</v>
      </c>
      <c r="G576" s="64">
        <f>SUM(D$6:E576)</f>
        <v>221730477</v>
      </c>
      <c r="H576" s="61" t="s">
        <v>610</v>
      </c>
      <c r="I576" s="61" t="s">
        <v>620</v>
      </c>
      <c r="J576" s="61" t="s">
        <v>114</v>
      </c>
      <c r="K576" s="64">
        <v>60130</v>
      </c>
      <c r="L576" s="61"/>
      <c r="M576" s="65" t="s">
        <v>590</v>
      </c>
      <c r="N576" s="61"/>
      <c r="O576" s="61"/>
      <c r="P576" s="61"/>
      <c r="Q576" s="61"/>
      <c r="R576" s="61">
        <v>542119</v>
      </c>
      <c r="S576" s="66" t="s">
        <v>1478</v>
      </c>
    </row>
    <row r="577" spans="1:19">
      <c r="A577" s="61" t="s">
        <v>537</v>
      </c>
      <c r="B577" s="62">
        <v>46094</v>
      </c>
      <c r="C577" s="63" t="s">
        <v>3500</v>
      </c>
      <c r="D577" s="67">
        <v>236949</v>
      </c>
      <c r="E577" s="67"/>
      <c r="F577" s="61" t="str">
        <f t="shared" si="8"/>
        <v>借</v>
      </c>
      <c r="G577" s="64">
        <f>SUM(D$6:E577)</f>
        <v>221967426</v>
      </c>
      <c r="H577" s="61" t="s">
        <v>606</v>
      </c>
      <c r="I577" s="61" t="s">
        <v>620</v>
      </c>
      <c r="J577" s="61" t="s">
        <v>114</v>
      </c>
      <c r="K577" s="64">
        <v>236949</v>
      </c>
      <c r="L577" s="61"/>
      <c r="M577" s="65" t="s">
        <v>590</v>
      </c>
      <c r="N577" s="61"/>
      <c r="O577" s="61"/>
      <c r="P577" s="61"/>
      <c r="Q577" s="61"/>
      <c r="R577" s="61">
        <v>542119</v>
      </c>
      <c r="S577" s="66" t="s">
        <v>1478</v>
      </c>
    </row>
    <row r="578" spans="1:19">
      <c r="A578" s="61" t="s">
        <v>537</v>
      </c>
      <c r="B578" s="62">
        <v>46097</v>
      </c>
      <c r="C578" s="63" t="s">
        <v>3501</v>
      </c>
      <c r="D578" s="67"/>
      <c r="E578" s="67">
        <v>-240904</v>
      </c>
      <c r="F578" s="61" t="str">
        <f t="shared" si="8"/>
        <v>借</v>
      </c>
      <c r="G578" s="64">
        <f>SUM(D$6:E578)</f>
        <v>221726522</v>
      </c>
      <c r="H578" s="61" t="s">
        <v>610</v>
      </c>
      <c r="I578" s="61" t="s">
        <v>3502</v>
      </c>
      <c r="J578" s="61" t="s">
        <v>114</v>
      </c>
      <c r="K578" s="64">
        <v>-240904</v>
      </c>
      <c r="L578" s="61"/>
      <c r="M578" s="65" t="s">
        <v>590</v>
      </c>
      <c r="N578" s="61"/>
      <c r="O578" s="61"/>
      <c r="P578" s="61"/>
      <c r="Q578" s="61"/>
      <c r="R578" s="61">
        <v>542118</v>
      </c>
      <c r="S578" s="66" t="s">
        <v>1478</v>
      </c>
    </row>
    <row r="579" spans="1:19">
      <c r="A579" s="61" t="s">
        <v>537</v>
      </c>
      <c r="B579" s="62">
        <v>46097</v>
      </c>
      <c r="C579" s="63" t="s">
        <v>3503</v>
      </c>
      <c r="D579" s="67">
        <v>1450777</v>
      </c>
      <c r="E579" s="67"/>
      <c r="F579" s="61" t="str">
        <f t="shared" si="8"/>
        <v>借</v>
      </c>
      <c r="G579" s="64">
        <f>SUM(D$6:E579)</f>
        <v>223177299</v>
      </c>
      <c r="H579" s="61" t="s">
        <v>606</v>
      </c>
      <c r="I579" s="61" t="s">
        <v>620</v>
      </c>
      <c r="J579" s="61" t="s">
        <v>114</v>
      </c>
      <c r="K579" s="64">
        <v>1450777</v>
      </c>
      <c r="L579" s="61"/>
      <c r="M579" s="65" t="s">
        <v>590</v>
      </c>
      <c r="N579" s="61"/>
      <c r="O579" s="61"/>
      <c r="P579" s="61"/>
      <c r="Q579" s="61"/>
      <c r="R579" s="61">
        <v>542118</v>
      </c>
      <c r="S579" s="66" t="s">
        <v>1478</v>
      </c>
    </row>
    <row r="580" spans="1:19">
      <c r="A580" s="61" t="s">
        <v>537</v>
      </c>
      <c r="B580" s="62">
        <v>46099</v>
      </c>
      <c r="C580" s="63" t="s">
        <v>3504</v>
      </c>
      <c r="D580" s="67">
        <v>112700</v>
      </c>
      <c r="E580" s="67"/>
      <c r="F580" s="61" t="str">
        <f t="shared" si="8"/>
        <v>借</v>
      </c>
      <c r="G580" s="64">
        <f>SUM(D$6:E580)</f>
        <v>223289999</v>
      </c>
      <c r="H580" s="61"/>
      <c r="I580" s="61" t="s">
        <v>3505</v>
      </c>
      <c r="J580" s="61" t="s">
        <v>114</v>
      </c>
      <c r="K580" s="64">
        <v>112700</v>
      </c>
      <c r="L580" s="61"/>
      <c r="M580" s="65" t="s">
        <v>612</v>
      </c>
      <c r="N580" s="61"/>
      <c r="O580" s="61"/>
      <c r="P580" s="61"/>
      <c r="Q580" s="61"/>
      <c r="R580" s="61">
        <v>546557</v>
      </c>
      <c r="S580" s="66" t="s">
        <v>63</v>
      </c>
    </row>
    <row r="581" spans="1:19">
      <c r="A581" s="61" t="s">
        <v>537</v>
      </c>
      <c r="B581" s="62">
        <v>46099</v>
      </c>
      <c r="C581" s="63" t="s">
        <v>3506</v>
      </c>
      <c r="D581" s="67">
        <v>181923</v>
      </c>
      <c r="E581" s="67"/>
      <c r="F581" s="61" t="str">
        <f t="shared" si="8"/>
        <v>借</v>
      </c>
      <c r="G581" s="64">
        <f>SUM(D$6:E581)</f>
        <v>223471922</v>
      </c>
      <c r="H581" s="61" t="s">
        <v>610</v>
      </c>
      <c r="I581" s="61" t="s">
        <v>620</v>
      </c>
      <c r="J581" s="61" t="s">
        <v>114</v>
      </c>
      <c r="K581" s="64">
        <v>181923</v>
      </c>
      <c r="L581" s="61"/>
      <c r="M581" s="65" t="s">
        <v>590</v>
      </c>
      <c r="N581" s="61"/>
      <c r="O581" s="61"/>
      <c r="P581" s="61"/>
      <c r="Q581" s="61"/>
      <c r="R581" s="61">
        <v>542867</v>
      </c>
      <c r="S581" s="66" t="s">
        <v>1478</v>
      </c>
    </row>
    <row r="582" spans="1:19">
      <c r="A582" s="61" t="s">
        <v>537</v>
      </c>
      <c r="B582" s="62">
        <v>46099</v>
      </c>
      <c r="C582" s="63" t="s">
        <v>3507</v>
      </c>
      <c r="D582" s="67">
        <v>265118</v>
      </c>
      <c r="E582" s="67"/>
      <c r="F582" s="61" t="str">
        <f t="shared" si="8"/>
        <v>借</v>
      </c>
      <c r="G582" s="64">
        <f>SUM(D$6:E582)</f>
        <v>223737040</v>
      </c>
      <c r="H582" s="61" t="s">
        <v>606</v>
      </c>
      <c r="I582" s="61" t="s">
        <v>620</v>
      </c>
      <c r="J582" s="61" t="s">
        <v>114</v>
      </c>
      <c r="K582" s="64">
        <v>265118</v>
      </c>
      <c r="L582" s="61"/>
      <c r="M582" s="65" t="s">
        <v>590</v>
      </c>
      <c r="N582" s="61"/>
      <c r="O582" s="61"/>
      <c r="P582" s="61"/>
      <c r="Q582" s="61"/>
      <c r="R582" s="61">
        <v>542867</v>
      </c>
      <c r="S582" s="66" t="s">
        <v>1478</v>
      </c>
    </row>
    <row r="583" spans="1:19">
      <c r="A583" s="61" t="s">
        <v>537</v>
      </c>
      <c r="B583" s="62">
        <v>46100</v>
      </c>
      <c r="C583" s="63" t="s">
        <v>3508</v>
      </c>
      <c r="D583" s="67"/>
      <c r="E583" s="67">
        <v>-248486</v>
      </c>
      <c r="F583" s="61" t="str">
        <f t="shared" ref="F583:F615" si="9">IF(G583&gt;0,"借","貸")</f>
        <v>借</v>
      </c>
      <c r="G583" s="64">
        <f>SUM(D$6:E583)</f>
        <v>223488554</v>
      </c>
      <c r="H583" s="61" t="s">
        <v>610</v>
      </c>
      <c r="I583" s="61" t="s">
        <v>625</v>
      </c>
      <c r="J583" s="61" t="s">
        <v>114</v>
      </c>
      <c r="K583" s="64">
        <v>-248486</v>
      </c>
      <c r="L583" s="61"/>
      <c r="M583" s="65" t="s">
        <v>590</v>
      </c>
      <c r="N583" s="61"/>
      <c r="O583" s="61"/>
      <c r="P583" s="61"/>
      <c r="Q583" s="61"/>
      <c r="R583" s="61">
        <v>542869</v>
      </c>
      <c r="S583" s="66" t="s">
        <v>1478</v>
      </c>
    </row>
    <row r="584" spans="1:19">
      <c r="A584" s="61" t="s">
        <v>537</v>
      </c>
      <c r="B584" s="62">
        <v>46100</v>
      </c>
      <c r="C584" s="63" t="s">
        <v>3509</v>
      </c>
      <c r="D584" s="67"/>
      <c r="E584" s="67">
        <v>-89753</v>
      </c>
      <c r="F584" s="61" t="str">
        <f t="shared" si="9"/>
        <v>借</v>
      </c>
      <c r="G584" s="64">
        <f>SUM(D$6:E584)</f>
        <v>223398801</v>
      </c>
      <c r="H584" s="61" t="s">
        <v>606</v>
      </c>
      <c r="I584" s="61" t="s">
        <v>625</v>
      </c>
      <c r="J584" s="61" t="s">
        <v>114</v>
      </c>
      <c r="K584" s="64">
        <v>-89753</v>
      </c>
      <c r="L584" s="61"/>
      <c r="M584" s="65" t="s">
        <v>590</v>
      </c>
      <c r="N584" s="61"/>
      <c r="O584" s="61"/>
      <c r="P584" s="61"/>
      <c r="Q584" s="61"/>
      <c r="R584" s="61">
        <v>542869</v>
      </c>
      <c r="S584" s="66" t="s">
        <v>1478</v>
      </c>
    </row>
    <row r="585" spans="1:19">
      <c r="A585" s="61" t="s">
        <v>537</v>
      </c>
      <c r="B585" s="62">
        <v>46101</v>
      </c>
      <c r="C585" s="63" t="s">
        <v>3510</v>
      </c>
      <c r="D585" s="67"/>
      <c r="E585" s="67">
        <v>-138871</v>
      </c>
      <c r="F585" s="61" t="str">
        <f t="shared" si="9"/>
        <v>借</v>
      </c>
      <c r="G585" s="64">
        <f>SUM(D$6:E585)</f>
        <v>223259930</v>
      </c>
      <c r="H585" s="61" t="s">
        <v>610</v>
      </c>
      <c r="I585" s="61" t="s">
        <v>625</v>
      </c>
      <c r="J585" s="61" t="s">
        <v>114</v>
      </c>
      <c r="K585" s="64">
        <v>-138871</v>
      </c>
      <c r="L585" s="61"/>
      <c r="M585" s="65" t="s">
        <v>590</v>
      </c>
      <c r="N585" s="61"/>
      <c r="O585" s="61"/>
      <c r="P585" s="61"/>
      <c r="Q585" s="61"/>
      <c r="R585" s="61">
        <v>543337</v>
      </c>
      <c r="S585" s="66" t="s">
        <v>1478</v>
      </c>
    </row>
    <row r="586" spans="1:19">
      <c r="A586" s="61" t="s">
        <v>537</v>
      </c>
      <c r="B586" s="62">
        <v>46104</v>
      </c>
      <c r="C586" s="63" t="s">
        <v>3511</v>
      </c>
      <c r="D586" s="67"/>
      <c r="E586" s="67">
        <v>-276649</v>
      </c>
      <c r="F586" s="61" t="str">
        <f t="shared" si="9"/>
        <v>借</v>
      </c>
      <c r="G586" s="64">
        <f>SUM(D$6:E586)</f>
        <v>222983281</v>
      </c>
      <c r="H586" s="61" t="s">
        <v>606</v>
      </c>
      <c r="I586" s="61" t="s">
        <v>625</v>
      </c>
      <c r="J586" s="61" t="s">
        <v>114</v>
      </c>
      <c r="K586" s="64">
        <v>-276649</v>
      </c>
      <c r="L586" s="61"/>
      <c r="M586" s="65" t="s">
        <v>590</v>
      </c>
      <c r="N586" s="61"/>
      <c r="O586" s="61"/>
      <c r="P586" s="61"/>
      <c r="Q586" s="61"/>
      <c r="R586" s="61">
        <v>544028</v>
      </c>
      <c r="S586" s="66" t="s">
        <v>1478</v>
      </c>
    </row>
    <row r="587" spans="1:19">
      <c r="A587" s="61" t="s">
        <v>537</v>
      </c>
      <c r="B587" s="62">
        <v>46104</v>
      </c>
      <c r="C587" s="63" t="s">
        <v>3512</v>
      </c>
      <c r="D587" s="67">
        <v>326072</v>
      </c>
      <c r="E587" s="67"/>
      <c r="F587" s="61" t="str">
        <f t="shared" si="9"/>
        <v>借</v>
      </c>
      <c r="G587" s="64">
        <f>SUM(D$6:E587)</f>
        <v>223309353</v>
      </c>
      <c r="H587" s="61" t="s">
        <v>610</v>
      </c>
      <c r="I587" s="61" t="s">
        <v>620</v>
      </c>
      <c r="J587" s="61" t="s">
        <v>114</v>
      </c>
      <c r="K587" s="64">
        <v>326072</v>
      </c>
      <c r="L587" s="61"/>
      <c r="M587" s="65" t="s">
        <v>590</v>
      </c>
      <c r="N587" s="61"/>
      <c r="O587" s="61"/>
      <c r="P587" s="61"/>
      <c r="Q587" s="61"/>
      <c r="R587" s="61">
        <v>544028</v>
      </c>
      <c r="S587" s="66" t="s">
        <v>1478</v>
      </c>
    </row>
    <row r="588" spans="1:19">
      <c r="A588" s="61" t="s">
        <v>537</v>
      </c>
      <c r="B588" s="62">
        <v>46105</v>
      </c>
      <c r="C588" s="63" t="s">
        <v>3513</v>
      </c>
      <c r="D588" s="67"/>
      <c r="E588" s="67">
        <v>-81123</v>
      </c>
      <c r="F588" s="61" t="str">
        <f t="shared" si="9"/>
        <v>借</v>
      </c>
      <c r="G588" s="64">
        <f>SUM(D$6:E588)</f>
        <v>223228230</v>
      </c>
      <c r="H588" s="61" t="s">
        <v>610</v>
      </c>
      <c r="I588" s="61" t="s">
        <v>625</v>
      </c>
      <c r="J588" s="61" t="s">
        <v>114</v>
      </c>
      <c r="K588" s="64">
        <v>-81123</v>
      </c>
      <c r="L588" s="61"/>
      <c r="M588" s="65" t="s">
        <v>590</v>
      </c>
      <c r="N588" s="61"/>
      <c r="O588" s="61"/>
      <c r="P588" s="61"/>
      <c r="Q588" s="61"/>
      <c r="R588" s="61">
        <v>544029</v>
      </c>
      <c r="S588" s="66" t="s">
        <v>1478</v>
      </c>
    </row>
    <row r="589" spans="1:19">
      <c r="A589" s="61" t="s">
        <v>537</v>
      </c>
      <c r="B589" s="62">
        <v>46105</v>
      </c>
      <c r="C589" s="63" t="s">
        <v>3514</v>
      </c>
      <c r="D589" s="67">
        <v>272219</v>
      </c>
      <c r="E589" s="67"/>
      <c r="F589" s="61" t="str">
        <f t="shared" si="9"/>
        <v>借</v>
      </c>
      <c r="G589" s="64">
        <f>SUM(D$6:E589)</f>
        <v>223500449</v>
      </c>
      <c r="H589" s="61" t="s">
        <v>606</v>
      </c>
      <c r="I589" s="61" t="s">
        <v>620</v>
      </c>
      <c r="J589" s="61" t="s">
        <v>114</v>
      </c>
      <c r="K589" s="64">
        <v>272219</v>
      </c>
      <c r="L589" s="61"/>
      <c r="M589" s="65" t="s">
        <v>590</v>
      </c>
      <c r="N589" s="61"/>
      <c r="O589" s="61"/>
      <c r="P589" s="61"/>
      <c r="Q589" s="61"/>
      <c r="R589" s="61">
        <v>544029</v>
      </c>
      <c r="S589" s="66" t="s">
        <v>1478</v>
      </c>
    </row>
    <row r="590" spans="1:19">
      <c r="A590" s="61" t="s">
        <v>537</v>
      </c>
      <c r="B590" s="62">
        <v>46106</v>
      </c>
      <c r="C590" s="63" t="s">
        <v>3515</v>
      </c>
      <c r="D590" s="67"/>
      <c r="E590" s="67">
        <v>-51778</v>
      </c>
      <c r="F590" s="61" t="str">
        <f t="shared" si="9"/>
        <v>借</v>
      </c>
      <c r="G590" s="64">
        <f>SUM(D$6:E590)</f>
        <v>223448671</v>
      </c>
      <c r="H590" s="61" t="s">
        <v>606</v>
      </c>
      <c r="I590" s="61" t="s">
        <v>625</v>
      </c>
      <c r="J590" s="61" t="s">
        <v>114</v>
      </c>
      <c r="K590" s="64">
        <v>-51778</v>
      </c>
      <c r="L590" s="61"/>
      <c r="M590" s="65" t="s">
        <v>590</v>
      </c>
      <c r="N590" s="61"/>
      <c r="O590" s="61"/>
      <c r="P590" s="61"/>
      <c r="Q590" s="61"/>
      <c r="R590" s="61">
        <v>544794</v>
      </c>
      <c r="S590" s="66" t="s">
        <v>1478</v>
      </c>
    </row>
    <row r="591" spans="1:19">
      <c r="A591" s="61" t="s">
        <v>537</v>
      </c>
      <c r="B591" s="62">
        <v>46107</v>
      </c>
      <c r="C591" s="63" t="s">
        <v>3516</v>
      </c>
      <c r="D591" s="67">
        <v>233014</v>
      </c>
      <c r="E591" s="67"/>
      <c r="F591" s="61" t="str">
        <f t="shared" si="9"/>
        <v>借</v>
      </c>
      <c r="G591" s="64">
        <f>SUM(D$6:E591)</f>
        <v>223681685</v>
      </c>
      <c r="H591" s="61" t="s">
        <v>610</v>
      </c>
      <c r="I591" s="61" t="s">
        <v>620</v>
      </c>
      <c r="J591" s="61" t="s">
        <v>114</v>
      </c>
      <c r="K591" s="64">
        <v>233014</v>
      </c>
      <c r="L591" s="61"/>
      <c r="M591" s="65" t="s">
        <v>590</v>
      </c>
      <c r="N591" s="61"/>
      <c r="O591" s="61"/>
      <c r="P591" s="61"/>
      <c r="Q591" s="61"/>
      <c r="R591" s="61">
        <v>544796</v>
      </c>
      <c r="S591" s="66" t="s">
        <v>1478</v>
      </c>
    </row>
    <row r="592" spans="1:19">
      <c r="A592" s="61" t="s">
        <v>537</v>
      </c>
      <c r="B592" s="62">
        <v>46108</v>
      </c>
      <c r="C592" s="63" t="s">
        <v>3517</v>
      </c>
      <c r="D592" s="67"/>
      <c r="E592" s="67">
        <v>-408344</v>
      </c>
      <c r="F592" s="61" t="str">
        <f t="shared" si="9"/>
        <v>借</v>
      </c>
      <c r="G592" s="64">
        <f>SUM(D$6:E592)</f>
        <v>223273341</v>
      </c>
      <c r="H592" s="61" t="s">
        <v>610</v>
      </c>
      <c r="I592" s="61" t="s">
        <v>625</v>
      </c>
      <c r="J592" s="61" t="s">
        <v>114</v>
      </c>
      <c r="K592" s="64">
        <v>-408344</v>
      </c>
      <c r="L592" s="61"/>
      <c r="M592" s="65" t="s">
        <v>590</v>
      </c>
      <c r="N592" s="61"/>
      <c r="O592" s="61"/>
      <c r="P592" s="61"/>
      <c r="Q592" s="61"/>
      <c r="R592" s="61">
        <v>545064</v>
      </c>
      <c r="S592" s="66" t="s">
        <v>1478</v>
      </c>
    </row>
    <row r="593" spans="1:19">
      <c r="A593" s="61" t="s">
        <v>537</v>
      </c>
      <c r="B593" s="62">
        <v>46108</v>
      </c>
      <c r="C593" s="63" t="s">
        <v>3518</v>
      </c>
      <c r="D593" s="67"/>
      <c r="E593" s="67">
        <v>-286085</v>
      </c>
      <c r="F593" s="61" t="str">
        <f t="shared" si="9"/>
        <v>借</v>
      </c>
      <c r="G593" s="64">
        <f>SUM(D$6:E593)</f>
        <v>222987256</v>
      </c>
      <c r="H593" s="61" t="s">
        <v>606</v>
      </c>
      <c r="I593" s="61" t="s">
        <v>625</v>
      </c>
      <c r="J593" s="61" t="s">
        <v>114</v>
      </c>
      <c r="K593" s="64">
        <v>-286085</v>
      </c>
      <c r="L593" s="61"/>
      <c r="M593" s="65" t="s">
        <v>590</v>
      </c>
      <c r="N593" s="61"/>
      <c r="O593" s="61"/>
      <c r="P593" s="61"/>
      <c r="Q593" s="61"/>
      <c r="R593" s="61">
        <v>545064</v>
      </c>
      <c r="S593" s="66" t="s">
        <v>1478</v>
      </c>
    </row>
    <row r="594" spans="1:19">
      <c r="A594" s="61" t="s">
        <v>537</v>
      </c>
      <c r="B594" s="62">
        <v>46111</v>
      </c>
      <c r="C594" s="63" t="s">
        <v>3519</v>
      </c>
      <c r="D594" s="67"/>
      <c r="E594" s="67">
        <v>-416208</v>
      </c>
      <c r="F594" s="61" t="str">
        <f t="shared" si="9"/>
        <v>借</v>
      </c>
      <c r="G594" s="64">
        <f>SUM(D$6:E594)</f>
        <v>222571048</v>
      </c>
      <c r="H594" s="61" t="s">
        <v>610</v>
      </c>
      <c r="I594" s="61" t="s">
        <v>625</v>
      </c>
      <c r="J594" s="61" t="s">
        <v>114</v>
      </c>
      <c r="K594" s="64">
        <v>-416208</v>
      </c>
      <c r="L594" s="61"/>
      <c r="M594" s="65" t="s">
        <v>590</v>
      </c>
      <c r="N594" s="61"/>
      <c r="O594" s="61"/>
      <c r="P594" s="61"/>
      <c r="Q594" s="61"/>
      <c r="R594" s="61">
        <v>546214</v>
      </c>
      <c r="S594" s="66" t="s">
        <v>1478</v>
      </c>
    </row>
    <row r="595" spans="1:19">
      <c r="A595" s="61" t="s">
        <v>537</v>
      </c>
      <c r="B595" s="62">
        <v>46111</v>
      </c>
      <c r="C595" s="63" t="s">
        <v>3520</v>
      </c>
      <c r="D595" s="67"/>
      <c r="E595" s="67">
        <v>-283123</v>
      </c>
      <c r="F595" s="61" t="str">
        <f t="shared" si="9"/>
        <v>借</v>
      </c>
      <c r="G595" s="64">
        <f>SUM(D$6:E595)</f>
        <v>222287925</v>
      </c>
      <c r="H595" s="61" t="s">
        <v>606</v>
      </c>
      <c r="I595" s="61" t="s">
        <v>625</v>
      </c>
      <c r="J595" s="61" t="s">
        <v>114</v>
      </c>
      <c r="K595" s="64">
        <v>-283123</v>
      </c>
      <c r="L595" s="61"/>
      <c r="M595" s="65" t="s">
        <v>590</v>
      </c>
      <c r="N595" s="61"/>
      <c r="O595" s="61"/>
      <c r="P595" s="61"/>
      <c r="Q595" s="61"/>
      <c r="R595" s="61">
        <v>546214</v>
      </c>
      <c r="S595" s="66" t="s">
        <v>1478</v>
      </c>
    </row>
    <row r="596" spans="1:19">
      <c r="A596" s="61" t="s">
        <v>537</v>
      </c>
      <c r="B596" s="62">
        <v>46112</v>
      </c>
      <c r="C596" s="63" t="s">
        <v>3521</v>
      </c>
      <c r="D596" s="67"/>
      <c r="E596" s="67">
        <v>-192710</v>
      </c>
      <c r="F596" s="61" t="str">
        <f t="shared" si="9"/>
        <v>借</v>
      </c>
      <c r="G596" s="64">
        <f>SUM(D$6:E596)</f>
        <v>222095215</v>
      </c>
      <c r="H596" s="61" t="s">
        <v>610</v>
      </c>
      <c r="I596" s="61" t="s">
        <v>3522</v>
      </c>
      <c r="J596" s="61" t="s">
        <v>114</v>
      </c>
      <c r="K596" s="64">
        <v>-192710</v>
      </c>
      <c r="L596" s="61"/>
      <c r="M596" s="65" t="s">
        <v>590</v>
      </c>
      <c r="N596" s="61"/>
      <c r="O596" s="61"/>
      <c r="P596" s="61"/>
      <c r="Q596" s="61"/>
      <c r="R596" s="61">
        <v>546957</v>
      </c>
      <c r="S596" s="66" t="s">
        <v>1478</v>
      </c>
    </row>
    <row r="597" spans="1:19">
      <c r="A597" s="61" t="s">
        <v>537</v>
      </c>
      <c r="B597" s="62">
        <v>46112</v>
      </c>
      <c r="C597" s="63" t="s">
        <v>3523</v>
      </c>
      <c r="D597" s="67"/>
      <c r="E597" s="67">
        <v>-132818</v>
      </c>
      <c r="F597" s="61" t="str">
        <f t="shared" si="9"/>
        <v>借</v>
      </c>
      <c r="G597" s="64">
        <f>SUM(D$6:E597)</f>
        <v>221962397</v>
      </c>
      <c r="H597" s="61" t="s">
        <v>606</v>
      </c>
      <c r="I597" s="61" t="s">
        <v>3522</v>
      </c>
      <c r="J597" s="61" t="s">
        <v>114</v>
      </c>
      <c r="K597" s="64">
        <v>-132818</v>
      </c>
      <c r="L597" s="61"/>
      <c r="M597" s="65" t="s">
        <v>590</v>
      </c>
      <c r="N597" s="61"/>
      <c r="O597" s="61"/>
      <c r="P597" s="61"/>
      <c r="Q597" s="61"/>
      <c r="R597" s="61">
        <v>546957</v>
      </c>
      <c r="S597" s="66" t="s">
        <v>1478</v>
      </c>
    </row>
    <row r="598" spans="1:19">
      <c r="A598" s="61" t="s">
        <v>537</v>
      </c>
      <c r="B598" s="62">
        <v>46112</v>
      </c>
      <c r="C598" s="63" t="s">
        <v>3524</v>
      </c>
      <c r="D598" s="67">
        <v>3929</v>
      </c>
      <c r="E598" s="67"/>
      <c r="F598" s="61" t="str">
        <f t="shared" si="9"/>
        <v>借</v>
      </c>
      <c r="G598" s="64">
        <f>SUM(D$6:E598)</f>
        <v>221966326</v>
      </c>
      <c r="H598" s="61" t="s">
        <v>606</v>
      </c>
      <c r="I598" s="61" t="s">
        <v>1548</v>
      </c>
      <c r="J598" s="61" t="s">
        <v>114</v>
      </c>
      <c r="K598" s="64">
        <v>3929</v>
      </c>
      <c r="L598" s="61"/>
      <c r="M598" s="65" t="s">
        <v>590</v>
      </c>
      <c r="N598" s="61"/>
      <c r="O598" s="61"/>
      <c r="P598" s="61"/>
      <c r="Q598" s="61"/>
      <c r="R598" s="61">
        <v>546736</v>
      </c>
      <c r="S598" s="66" t="s">
        <v>252</v>
      </c>
    </row>
    <row r="599" spans="1:19">
      <c r="A599" s="61" t="s">
        <v>537</v>
      </c>
      <c r="B599" s="62">
        <v>46112</v>
      </c>
      <c r="C599" s="63" t="s">
        <v>3525</v>
      </c>
      <c r="D599" s="67">
        <v>16293</v>
      </c>
      <c r="E599" s="67"/>
      <c r="F599" s="61" t="str">
        <f t="shared" si="9"/>
        <v>借</v>
      </c>
      <c r="G599" s="64">
        <f>SUM(D$6:E599)</f>
        <v>221982619</v>
      </c>
      <c r="H599" s="61" t="s">
        <v>606</v>
      </c>
      <c r="I599" s="61" t="s">
        <v>613</v>
      </c>
      <c r="J599" s="61" t="s">
        <v>114</v>
      </c>
      <c r="K599" s="64">
        <v>16293</v>
      </c>
      <c r="L599" s="61"/>
      <c r="M599" s="65" t="s">
        <v>590</v>
      </c>
      <c r="N599" s="61"/>
      <c r="O599" s="61"/>
      <c r="P599" s="61"/>
      <c r="Q599" s="61"/>
      <c r="R599" s="61">
        <v>546736</v>
      </c>
      <c r="S599" s="66" t="s">
        <v>252</v>
      </c>
    </row>
    <row r="600" spans="1:19">
      <c r="A600" s="61" t="s">
        <v>537</v>
      </c>
      <c r="B600" s="62">
        <v>46112</v>
      </c>
      <c r="C600" s="63" t="s">
        <v>3526</v>
      </c>
      <c r="D600" s="67">
        <v>145072</v>
      </c>
      <c r="E600" s="67"/>
      <c r="F600" s="61" t="str">
        <f t="shared" si="9"/>
        <v>借</v>
      </c>
      <c r="G600" s="64">
        <f>SUM(D$6:E600)</f>
        <v>222127691</v>
      </c>
      <c r="H600" s="61" t="s">
        <v>606</v>
      </c>
      <c r="I600" s="61" t="s">
        <v>3522</v>
      </c>
      <c r="J600" s="61" t="s">
        <v>114</v>
      </c>
      <c r="K600" s="64">
        <v>145072</v>
      </c>
      <c r="L600" s="61"/>
      <c r="M600" s="65" t="s">
        <v>590</v>
      </c>
      <c r="N600" s="61"/>
      <c r="O600" s="61"/>
      <c r="P600" s="61"/>
      <c r="Q600" s="61"/>
      <c r="R600" s="61">
        <v>546957</v>
      </c>
      <c r="S600" s="66" t="s">
        <v>1478</v>
      </c>
    </row>
    <row r="601" spans="1:19">
      <c r="A601" s="61" t="s">
        <v>537</v>
      </c>
      <c r="B601" s="62">
        <v>46112</v>
      </c>
      <c r="C601" s="63" t="s">
        <v>3527</v>
      </c>
      <c r="D601" s="67">
        <v>204651</v>
      </c>
      <c r="E601" s="67"/>
      <c r="F601" s="61" t="str">
        <f t="shared" si="9"/>
        <v>借</v>
      </c>
      <c r="G601" s="64">
        <f>SUM(D$6:E601)</f>
        <v>222332342</v>
      </c>
      <c r="H601" s="61" t="s">
        <v>610</v>
      </c>
      <c r="I601" s="61" t="s">
        <v>3522</v>
      </c>
      <c r="J601" s="61" t="s">
        <v>114</v>
      </c>
      <c r="K601" s="64">
        <v>204651</v>
      </c>
      <c r="L601" s="61"/>
      <c r="M601" s="65" t="s">
        <v>590</v>
      </c>
      <c r="N601" s="61"/>
      <c r="O601" s="61"/>
      <c r="P601" s="61"/>
      <c r="Q601" s="61"/>
      <c r="R601" s="61">
        <v>546957</v>
      </c>
      <c r="S601" s="66" t="s">
        <v>1478</v>
      </c>
    </row>
    <row r="602" spans="1:19">
      <c r="A602" s="61" t="s">
        <v>537</v>
      </c>
      <c r="B602" s="62">
        <v>46112</v>
      </c>
      <c r="C602" s="63" t="s">
        <v>3528</v>
      </c>
      <c r="D602" s="67">
        <v>1207875</v>
      </c>
      <c r="E602" s="67"/>
      <c r="F602" s="61" t="str">
        <f t="shared" si="9"/>
        <v>借</v>
      </c>
      <c r="G602" s="64">
        <f>SUM(D$6:E602)</f>
        <v>223540217</v>
      </c>
      <c r="H602" s="61" t="s">
        <v>610</v>
      </c>
      <c r="I602" s="61" t="s">
        <v>620</v>
      </c>
      <c r="J602" s="61" t="s">
        <v>114</v>
      </c>
      <c r="K602" s="64">
        <v>1207875</v>
      </c>
      <c r="L602" s="61"/>
      <c r="M602" s="65" t="s">
        <v>590</v>
      </c>
      <c r="N602" s="61"/>
      <c r="O602" s="61"/>
      <c r="P602" s="61"/>
      <c r="Q602" s="61"/>
      <c r="R602" s="61">
        <v>546115</v>
      </c>
      <c r="S602" s="66" t="s">
        <v>1478</v>
      </c>
    </row>
    <row r="603" spans="1:19">
      <c r="A603" s="61" t="s">
        <v>537</v>
      </c>
      <c r="B603" s="62">
        <v>46113</v>
      </c>
      <c r="C603" s="63" t="s">
        <v>3529</v>
      </c>
      <c r="D603" s="67"/>
      <c r="E603" s="67">
        <v>-147521</v>
      </c>
      <c r="F603" s="61" t="str">
        <f t="shared" si="9"/>
        <v>借</v>
      </c>
      <c r="G603" s="64">
        <f>SUM(D$6:E603)</f>
        <v>223392696</v>
      </c>
      <c r="H603" s="61" t="s">
        <v>610</v>
      </c>
      <c r="I603" s="61" t="s">
        <v>625</v>
      </c>
      <c r="J603" s="61" t="s">
        <v>114</v>
      </c>
      <c r="K603" s="64">
        <v>-147521</v>
      </c>
      <c r="L603" s="61"/>
      <c r="M603" s="65" t="s">
        <v>590</v>
      </c>
      <c r="N603" s="61"/>
      <c r="O603" s="61"/>
      <c r="P603" s="61"/>
      <c r="Q603" s="61"/>
      <c r="R603" s="61">
        <v>546116</v>
      </c>
      <c r="S603" s="66" t="s">
        <v>1478</v>
      </c>
    </row>
    <row r="604" spans="1:19">
      <c r="A604" s="61" t="s">
        <v>537</v>
      </c>
      <c r="B604" s="62">
        <v>46113</v>
      </c>
      <c r="C604" s="63" t="s">
        <v>3530</v>
      </c>
      <c r="D604" s="67"/>
      <c r="E604" s="67">
        <v>-3929</v>
      </c>
      <c r="F604" s="61" t="str">
        <f t="shared" si="9"/>
        <v>借</v>
      </c>
      <c r="G604" s="64">
        <f>SUM(D$6:E604)</f>
        <v>223388767</v>
      </c>
      <c r="H604" s="61" t="s">
        <v>606</v>
      </c>
      <c r="I604" s="61" t="s">
        <v>1554</v>
      </c>
      <c r="J604" s="61" t="s">
        <v>114</v>
      </c>
      <c r="K604" s="64">
        <v>-3929</v>
      </c>
      <c r="L604" s="61"/>
      <c r="M604" s="65" t="s">
        <v>590</v>
      </c>
      <c r="N604" s="61"/>
      <c r="O604" s="61"/>
      <c r="P604" s="61"/>
      <c r="Q604" s="61"/>
      <c r="R604" s="61">
        <v>546735</v>
      </c>
      <c r="S604" s="66" t="s">
        <v>252</v>
      </c>
    </row>
    <row r="605" spans="1:19">
      <c r="A605" s="61" t="s">
        <v>537</v>
      </c>
      <c r="B605" s="62">
        <v>46114</v>
      </c>
      <c r="C605" s="63" t="s">
        <v>3531</v>
      </c>
      <c r="D605" s="67"/>
      <c r="E605" s="67">
        <v>-77128</v>
      </c>
      <c r="F605" s="61" t="str">
        <f t="shared" si="9"/>
        <v>借</v>
      </c>
      <c r="G605" s="64">
        <f>SUM(D$6:E605)</f>
        <v>223311639</v>
      </c>
      <c r="H605" s="61" t="s">
        <v>606</v>
      </c>
      <c r="I605" s="61" t="s">
        <v>625</v>
      </c>
      <c r="J605" s="61" t="s">
        <v>114</v>
      </c>
      <c r="K605" s="64">
        <v>-77128</v>
      </c>
      <c r="L605" s="61"/>
      <c r="M605" s="65" t="s">
        <v>590</v>
      </c>
      <c r="N605" s="61"/>
      <c r="O605" s="61"/>
      <c r="P605" s="61"/>
      <c r="Q605" s="61"/>
      <c r="R605" s="61">
        <v>546238</v>
      </c>
      <c r="S605" s="66" t="s">
        <v>1478</v>
      </c>
    </row>
    <row r="606" spans="1:19">
      <c r="A606" s="61" t="s">
        <v>537</v>
      </c>
      <c r="B606" s="62">
        <v>46119</v>
      </c>
      <c r="C606" s="63" t="s">
        <v>3532</v>
      </c>
      <c r="D606" s="67">
        <v>394012</v>
      </c>
      <c r="E606" s="67"/>
      <c r="F606" s="61" t="str">
        <f t="shared" si="9"/>
        <v>借</v>
      </c>
      <c r="G606" s="64">
        <f>SUM(D$6:E606)</f>
        <v>223705651</v>
      </c>
      <c r="H606" s="61" t="s">
        <v>606</v>
      </c>
      <c r="I606" s="61" t="s">
        <v>620</v>
      </c>
      <c r="J606" s="61" t="s">
        <v>114</v>
      </c>
      <c r="K606" s="64">
        <v>394012</v>
      </c>
      <c r="L606" s="61"/>
      <c r="M606" s="65" t="s">
        <v>590</v>
      </c>
      <c r="N606" s="61"/>
      <c r="O606" s="61"/>
      <c r="P606" s="61"/>
      <c r="Q606" s="61"/>
      <c r="R606" s="61">
        <v>547118</v>
      </c>
      <c r="S606" s="66" t="s">
        <v>1478</v>
      </c>
    </row>
    <row r="607" spans="1:19">
      <c r="A607" s="61" t="s">
        <v>537</v>
      </c>
      <c r="B607" s="62">
        <v>46119</v>
      </c>
      <c r="C607" s="63" t="s">
        <v>3533</v>
      </c>
      <c r="D607" s="67">
        <v>730705</v>
      </c>
      <c r="E607" s="67"/>
      <c r="F607" s="61" t="str">
        <f t="shared" si="9"/>
        <v>借</v>
      </c>
      <c r="G607" s="64">
        <f>SUM(D$6:E607)</f>
        <v>224436356</v>
      </c>
      <c r="H607" s="61" t="s">
        <v>610</v>
      </c>
      <c r="I607" s="61" t="s">
        <v>620</v>
      </c>
      <c r="J607" s="61" t="s">
        <v>114</v>
      </c>
      <c r="K607" s="64">
        <v>730705</v>
      </c>
      <c r="L607" s="61"/>
      <c r="M607" s="65" t="s">
        <v>590</v>
      </c>
      <c r="N607" s="61"/>
      <c r="O607" s="61"/>
      <c r="P607" s="61"/>
      <c r="Q607" s="61"/>
      <c r="R607" s="61">
        <v>547118</v>
      </c>
      <c r="S607" s="66" t="s">
        <v>1478</v>
      </c>
    </row>
    <row r="608" spans="1:19">
      <c r="A608" s="61" t="s">
        <v>537</v>
      </c>
      <c r="B608" s="62">
        <v>46120</v>
      </c>
      <c r="C608" s="63" t="s">
        <v>3534</v>
      </c>
      <c r="D608" s="67"/>
      <c r="E608" s="67">
        <v>-496158</v>
      </c>
      <c r="F608" s="61" t="str">
        <f t="shared" si="9"/>
        <v>借</v>
      </c>
      <c r="G608" s="64">
        <f>SUM(D$6:E608)</f>
        <v>223940198</v>
      </c>
      <c r="H608" s="61" t="s">
        <v>610</v>
      </c>
      <c r="I608" s="61" t="s">
        <v>625</v>
      </c>
      <c r="J608" s="61" t="s">
        <v>114</v>
      </c>
      <c r="K608" s="64">
        <v>-496158</v>
      </c>
      <c r="L608" s="61"/>
      <c r="M608" s="65" t="s">
        <v>590</v>
      </c>
      <c r="N608" s="61"/>
      <c r="O608" s="61"/>
      <c r="P608" s="61"/>
      <c r="Q608" s="61"/>
      <c r="R608" s="61">
        <v>547587</v>
      </c>
      <c r="S608" s="66" t="s">
        <v>1478</v>
      </c>
    </row>
    <row r="609" spans="1:19">
      <c r="A609" s="61" t="s">
        <v>537</v>
      </c>
      <c r="B609" s="62">
        <v>46121</v>
      </c>
      <c r="C609" s="63" t="s">
        <v>3535</v>
      </c>
      <c r="D609" s="67">
        <v>693890</v>
      </c>
      <c r="E609" s="67"/>
      <c r="F609" s="61" t="str">
        <f t="shared" si="9"/>
        <v>借</v>
      </c>
      <c r="G609" s="64">
        <f>SUM(D$6:E609)</f>
        <v>224634088</v>
      </c>
      <c r="H609" s="61" t="s">
        <v>610</v>
      </c>
      <c r="I609" s="61" t="s">
        <v>620</v>
      </c>
      <c r="J609" s="61" t="s">
        <v>114</v>
      </c>
      <c r="K609" s="64">
        <v>693890</v>
      </c>
      <c r="L609" s="61"/>
      <c r="M609" s="65" t="s">
        <v>590</v>
      </c>
      <c r="N609" s="61"/>
      <c r="O609" s="61"/>
      <c r="P609" s="61"/>
      <c r="Q609" s="61"/>
      <c r="R609" s="61">
        <v>547588</v>
      </c>
      <c r="S609" s="66" t="s">
        <v>1478</v>
      </c>
    </row>
    <row r="610" spans="1:19">
      <c r="A610" s="61" t="s">
        <v>537</v>
      </c>
      <c r="B610" s="62">
        <v>46125</v>
      </c>
      <c r="C610" s="63" t="s">
        <v>3536</v>
      </c>
      <c r="D610" s="67">
        <v>713370</v>
      </c>
      <c r="E610" s="67"/>
      <c r="F610" s="61" t="str">
        <f t="shared" si="9"/>
        <v>借</v>
      </c>
      <c r="G610" s="64">
        <f>SUM(D$6:E610)</f>
        <v>225347458</v>
      </c>
      <c r="H610" s="61" t="s">
        <v>610</v>
      </c>
      <c r="I610" s="61" t="s">
        <v>620</v>
      </c>
      <c r="J610" s="61" t="s">
        <v>114</v>
      </c>
      <c r="K610" s="64">
        <v>713370</v>
      </c>
      <c r="L610" s="61"/>
      <c r="M610" s="65" t="s">
        <v>590</v>
      </c>
      <c r="N610" s="61"/>
      <c r="O610" s="61"/>
      <c r="P610" s="61"/>
      <c r="Q610" s="61"/>
      <c r="R610" s="61">
        <v>547939</v>
      </c>
      <c r="S610" s="66" t="s">
        <v>1478</v>
      </c>
    </row>
    <row r="611" spans="1:19">
      <c r="A611" s="61" t="s">
        <v>537</v>
      </c>
      <c r="B611" s="62">
        <v>46126</v>
      </c>
      <c r="C611" s="63" t="s">
        <v>3537</v>
      </c>
      <c r="D611" s="67"/>
      <c r="E611" s="67">
        <v>-10000000</v>
      </c>
      <c r="F611" s="61" t="str">
        <f t="shared" si="9"/>
        <v>借</v>
      </c>
      <c r="G611" s="64">
        <f>SUM(D$6:E611)</f>
        <v>215347458</v>
      </c>
      <c r="H611" s="61" t="s">
        <v>606</v>
      </c>
      <c r="I611" s="61" t="s">
        <v>3538</v>
      </c>
      <c r="J611" s="61" t="s">
        <v>114</v>
      </c>
      <c r="K611" s="64">
        <v>-10000000</v>
      </c>
      <c r="L611" s="61"/>
      <c r="M611" s="65" t="s">
        <v>590</v>
      </c>
      <c r="N611" s="61"/>
      <c r="O611" s="61"/>
      <c r="P611" s="61"/>
      <c r="Q611" s="61"/>
      <c r="R611" s="61">
        <v>548525</v>
      </c>
      <c r="S611" s="66" t="s">
        <v>1478</v>
      </c>
    </row>
    <row r="612" spans="1:19">
      <c r="A612" s="61" t="s">
        <v>537</v>
      </c>
      <c r="B612" s="62">
        <v>46126</v>
      </c>
      <c r="C612" s="63" t="s">
        <v>3539</v>
      </c>
      <c r="D612" s="67"/>
      <c r="E612" s="67">
        <v>-98086</v>
      </c>
      <c r="F612" s="61" t="str">
        <f t="shared" si="9"/>
        <v>借</v>
      </c>
      <c r="G612" s="64">
        <f>SUM(D$6:E612)</f>
        <v>215249372</v>
      </c>
      <c r="H612" s="61" t="s">
        <v>610</v>
      </c>
      <c r="I612" s="61" t="s">
        <v>625</v>
      </c>
      <c r="J612" s="61" t="s">
        <v>114</v>
      </c>
      <c r="K612" s="64">
        <v>-98086</v>
      </c>
      <c r="L612" s="61"/>
      <c r="M612" s="65" t="s">
        <v>590</v>
      </c>
      <c r="N612" s="61"/>
      <c r="O612" s="61"/>
      <c r="P612" s="61"/>
      <c r="Q612" s="61"/>
      <c r="R612" s="61">
        <v>548176</v>
      </c>
      <c r="S612" s="66" t="s">
        <v>1478</v>
      </c>
    </row>
    <row r="613" spans="1:19">
      <c r="A613" s="61" t="s">
        <v>537</v>
      </c>
      <c r="B613" s="62">
        <v>46127</v>
      </c>
      <c r="C613" s="63" t="s">
        <v>3540</v>
      </c>
      <c r="D613" s="67"/>
      <c r="E613" s="67">
        <v>-273699</v>
      </c>
      <c r="F613" s="61" t="str">
        <f t="shared" si="9"/>
        <v>借</v>
      </c>
      <c r="G613" s="64">
        <f>SUM(D$6:E613)</f>
        <v>214975673</v>
      </c>
      <c r="H613" s="61" t="s">
        <v>606</v>
      </c>
      <c r="I613" s="61" t="s">
        <v>625</v>
      </c>
      <c r="J613" s="61" t="s">
        <v>114</v>
      </c>
      <c r="K613" s="64">
        <v>-273699</v>
      </c>
      <c r="L613" s="61"/>
      <c r="M613" s="65" t="s">
        <v>590</v>
      </c>
      <c r="N613" s="61"/>
      <c r="O613" s="61"/>
      <c r="P613" s="61"/>
      <c r="Q613" s="61"/>
      <c r="R613" s="61">
        <v>548330</v>
      </c>
      <c r="S613" s="66" t="s">
        <v>1478</v>
      </c>
    </row>
    <row r="614" spans="1:19">
      <c r="A614" s="61" t="s">
        <v>537</v>
      </c>
      <c r="B614" s="62">
        <v>46127</v>
      </c>
      <c r="C614" s="63" t="s">
        <v>3541</v>
      </c>
      <c r="D614" s="67">
        <v>162740</v>
      </c>
      <c r="E614" s="67"/>
      <c r="F614" s="61" t="str">
        <f t="shared" si="9"/>
        <v>借</v>
      </c>
      <c r="G614" s="64">
        <f>SUM(D$6:E614)</f>
        <v>215138413</v>
      </c>
      <c r="H614" s="61" t="s">
        <v>610</v>
      </c>
      <c r="I614" s="61" t="s">
        <v>620</v>
      </c>
      <c r="J614" s="61" t="s">
        <v>114</v>
      </c>
      <c r="K614" s="64">
        <v>162740</v>
      </c>
      <c r="L614" s="61"/>
      <c r="M614" s="65" t="s">
        <v>590</v>
      </c>
      <c r="N614" s="61"/>
      <c r="O614" s="61"/>
      <c r="P614" s="61"/>
      <c r="Q614" s="61"/>
      <c r="R614" s="61">
        <v>548330</v>
      </c>
      <c r="S614" s="66" t="s">
        <v>1478</v>
      </c>
    </row>
    <row r="615" spans="1:19" ht="17.25" thickBot="1">
      <c r="A615" s="52"/>
      <c r="B615" s="52" t="s">
        <v>115</v>
      </c>
      <c r="C615" s="52"/>
      <c r="D615" s="53">
        <f>SUBTOTAL(9,D7:D614)</f>
        <v>403238663</v>
      </c>
      <c r="E615" s="53">
        <f>SUBTOTAL(9,E7:E614)</f>
        <v>-188100250</v>
      </c>
      <c r="F615" s="52" t="str">
        <f t="shared" si="9"/>
        <v>借</v>
      </c>
      <c r="G615" s="54">
        <f>G614</f>
        <v>215138413</v>
      </c>
      <c r="H615" s="52"/>
      <c r="I615" s="55"/>
      <c r="J615" s="55"/>
      <c r="K615" s="54">
        <f>SUBTOTAL(9,K7:K614)</f>
        <v>215441577</v>
      </c>
      <c r="L615" s="52"/>
      <c r="M615" s="52" t="s">
        <v>117</v>
      </c>
      <c r="N615" s="52" t="str">
        <f>IF(O615&gt;0,"借","貸")</f>
        <v>借</v>
      </c>
      <c r="O615" s="56">
        <v>215138413</v>
      </c>
      <c r="P615" s="52" t="s">
        <v>118</v>
      </c>
      <c r="Q615" s="56">
        <f>O615-G615</f>
        <v>0</v>
      </c>
      <c r="R615" s="52"/>
      <c r="S615" s="55"/>
    </row>
  </sheetData>
  <autoFilter ref="A5:AR884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17F14060-234A-4FE8-9A80-890C5C99F2E7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AB030080-85A1-442C-B45C-7D8D535C892E}">
      <formula1>0</formula1>
      <formula2>300</formula2>
    </dataValidation>
    <dataValidation type="textLength" errorStyle="information" allowBlank="1" showInputMessage="1" showErrorMessage="1" error="XLBVal:8=_x000d__x000a_XLBRowCount:8=610_x000d__x000a_XLBColCount:8=19_x000d__x000a_" sqref="A6" xr:uid="{D1451220-5579-44A7-A5A9-2AE2C7319F01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E12B-C405-4E25-84FA-181D25A5F5F4}">
  <sheetPr codeName="工作表17">
    <pageSetUpPr fitToPage="1"/>
  </sheetPr>
  <dimension ref="A1:AR614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27.125" style="5" hidden="1" customWidth="1" outlineLevel="1"/>
    <col min="2" max="2" width="11.125" style="5" bestFit="1" customWidth="1" collapsed="1"/>
    <col min="3" max="3" width="21.75" style="5" bestFit="1" customWidth="1"/>
    <col min="4" max="4" width="15.625" style="6" bestFit="1" customWidth="1"/>
    <col min="5" max="5" width="13.375" style="6" bestFit="1" customWidth="1"/>
    <col min="6" max="6" width="3.75" style="5" bestFit="1" customWidth="1"/>
    <col min="7" max="7" width="17" style="7" bestFit="1" customWidth="1"/>
    <col min="8" max="8" width="7" style="5" bestFit="1" customWidth="1"/>
    <col min="9" max="9" width="53.625" style="8" bestFit="1" customWidth="1"/>
    <col min="10" max="10" width="5.75" style="8" bestFit="1" customWidth="1"/>
    <col min="11" max="11" width="13.375" style="9" bestFit="1" customWidth="1"/>
    <col min="12" max="12" width="5.625" style="5" bestFit="1" customWidth="1"/>
    <col min="13" max="13" width="11.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60" t="str">
        <f>M_BUNAME</f>
        <v>富邦綜合證券股份有限公司總公司</v>
      </c>
      <c r="H1" s="60"/>
      <c r="I1" s="60"/>
    </row>
    <row r="2" spans="1:44" s="5" customFormat="1">
      <c r="G2" s="60" t="s">
        <v>96</v>
      </c>
      <c r="H2" s="60"/>
      <c r="I2" s="60"/>
      <c r="Z2" s="5" t="s">
        <v>206</v>
      </c>
    </row>
    <row r="3" spans="1:44" s="5" customFormat="1" ht="15.75" hidden="1" customHeight="1">
      <c r="G3" s="60" t="str">
        <f>"截至:  "&amp;LEFT(M_PRD_TO,4)-1911&amp;" 年 "&amp;MONTH(M_DATE)&amp;" 月 "&amp;DAY(M_DATE)&amp;" 日止"</f>
        <v>截至:  115 年 4 月 30 日止</v>
      </c>
      <c r="H3" s="60"/>
      <c r="I3" s="60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813</v>
      </c>
      <c r="D4" s="2" t="s">
        <v>814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-2653106.000",TargetCell,M_BU,$C4,$C4,M_PRD_FROM,M_PRD_TO,M_DATE,M_T1,M_T1,M_T2,M_T2,M_T3,M_T3,M_T4,M_T4,M_T5,M_T5,M_T6,M_T6,M_T8,M_T8)</f>
        <v>-2653106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78.7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815</v>
      </c>
      <c r="B7" s="62">
        <v>45024</v>
      </c>
      <c r="C7" s="63" t="s">
        <v>816</v>
      </c>
      <c r="D7" s="67"/>
      <c r="E7" s="67">
        <v>-47000</v>
      </c>
      <c r="F7" s="61" t="str">
        <f t="shared" ref="F7:F22" si="0">IF(G7&gt;0,"借","貸")</f>
        <v>貸</v>
      </c>
      <c r="G7" s="64">
        <f>SUM(D$6:E7)</f>
        <v>-47000</v>
      </c>
      <c r="H7" s="61"/>
      <c r="I7" s="61" t="s">
        <v>572</v>
      </c>
      <c r="J7" s="61" t="s">
        <v>114</v>
      </c>
      <c r="K7" s="64">
        <v>-47000</v>
      </c>
      <c r="L7" s="61"/>
      <c r="M7" s="65" t="s">
        <v>224</v>
      </c>
      <c r="N7" s="61"/>
      <c r="O7" s="61"/>
      <c r="P7" s="61"/>
      <c r="Q7" s="61"/>
      <c r="R7" s="61">
        <v>330618</v>
      </c>
      <c r="S7" s="66" t="s">
        <v>421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815</v>
      </c>
      <c r="B8" s="62">
        <v>45024</v>
      </c>
      <c r="C8" s="63" t="s">
        <v>817</v>
      </c>
      <c r="D8" s="67"/>
      <c r="E8" s="67">
        <v>-2500</v>
      </c>
      <c r="F8" s="61" t="str">
        <f t="shared" si="0"/>
        <v>貸</v>
      </c>
      <c r="G8" s="64">
        <f>SUM(D$6:E8)</f>
        <v>-49500</v>
      </c>
      <c r="H8" s="61"/>
      <c r="I8" s="61" t="s">
        <v>818</v>
      </c>
      <c r="J8" s="61" t="s">
        <v>114</v>
      </c>
      <c r="K8" s="64">
        <v>-2500</v>
      </c>
      <c r="L8" s="61"/>
      <c r="M8" s="65" t="s">
        <v>224</v>
      </c>
      <c r="N8" s="61"/>
      <c r="O8" s="61"/>
      <c r="P8" s="61"/>
      <c r="Q8" s="61"/>
      <c r="R8" s="61">
        <v>330618</v>
      </c>
      <c r="S8" s="66" t="s">
        <v>421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815</v>
      </c>
      <c r="B9" s="62">
        <v>45863</v>
      </c>
      <c r="C9" s="63" t="s">
        <v>1053</v>
      </c>
      <c r="D9" s="67"/>
      <c r="E9" s="67">
        <v>-600239</v>
      </c>
      <c r="F9" s="61" t="str">
        <f t="shared" si="0"/>
        <v>貸</v>
      </c>
      <c r="G9" s="64">
        <f>SUM(D$6:E9)</f>
        <v>-649739</v>
      </c>
      <c r="H9" s="61"/>
      <c r="I9" s="61" t="s">
        <v>1054</v>
      </c>
      <c r="J9" s="61" t="s">
        <v>114</v>
      </c>
      <c r="K9" s="64">
        <v>-600239</v>
      </c>
      <c r="L9" s="61"/>
      <c r="M9" s="65" t="s">
        <v>1052</v>
      </c>
      <c r="N9" s="61"/>
      <c r="O9" s="61"/>
      <c r="P9" s="61"/>
      <c r="Q9" s="61"/>
      <c r="R9" s="61">
        <v>494853</v>
      </c>
      <c r="S9" s="66" t="s">
        <v>63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815</v>
      </c>
      <c r="B10" s="62">
        <v>45863</v>
      </c>
      <c r="C10" s="63" t="s">
        <v>1055</v>
      </c>
      <c r="D10" s="67"/>
      <c r="E10" s="67">
        <v>-600239</v>
      </c>
      <c r="F10" s="61" t="str">
        <f t="shared" si="0"/>
        <v>貸</v>
      </c>
      <c r="G10" s="64">
        <f>SUM(D$6:E10)</f>
        <v>-1249978</v>
      </c>
      <c r="H10" s="61"/>
      <c r="I10" s="61" t="s">
        <v>1056</v>
      </c>
      <c r="J10" s="61" t="s">
        <v>114</v>
      </c>
      <c r="K10" s="64">
        <v>-600239</v>
      </c>
      <c r="L10" s="61"/>
      <c r="M10" s="65" t="s">
        <v>1052</v>
      </c>
      <c r="N10" s="61"/>
      <c r="O10" s="61"/>
      <c r="P10" s="61"/>
      <c r="Q10" s="61"/>
      <c r="R10" s="61">
        <v>494853</v>
      </c>
      <c r="S10" s="66" t="s">
        <v>63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815</v>
      </c>
      <c r="B11" s="62">
        <v>45863</v>
      </c>
      <c r="C11" s="63" t="s">
        <v>1057</v>
      </c>
      <c r="D11" s="67"/>
      <c r="E11" s="67">
        <v>-600239</v>
      </c>
      <c r="F11" s="61" t="str">
        <f t="shared" si="0"/>
        <v>貸</v>
      </c>
      <c r="G11" s="64">
        <f>SUM(D$6:E11)</f>
        <v>-1850217</v>
      </c>
      <c r="H11" s="61"/>
      <c r="I11" s="61" t="s">
        <v>1058</v>
      </c>
      <c r="J11" s="61" t="s">
        <v>114</v>
      </c>
      <c r="K11" s="64">
        <v>-600239</v>
      </c>
      <c r="L11" s="61"/>
      <c r="M11" s="65" t="s">
        <v>1052</v>
      </c>
      <c r="N11" s="61"/>
      <c r="O11" s="61"/>
      <c r="P11" s="61"/>
      <c r="Q11" s="61"/>
      <c r="R11" s="61">
        <v>494853</v>
      </c>
      <c r="S11" s="66" t="s">
        <v>63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815</v>
      </c>
      <c r="B12" s="62">
        <v>45863</v>
      </c>
      <c r="C12" s="63" t="s">
        <v>1059</v>
      </c>
      <c r="D12" s="67"/>
      <c r="E12" s="67">
        <v>-600239</v>
      </c>
      <c r="F12" s="61" t="str">
        <f t="shared" si="0"/>
        <v>貸</v>
      </c>
      <c r="G12" s="64">
        <f>SUM(D$6:E12)</f>
        <v>-2450456</v>
      </c>
      <c r="H12" s="61"/>
      <c r="I12" s="61" t="s">
        <v>1060</v>
      </c>
      <c r="J12" s="61" t="s">
        <v>114</v>
      </c>
      <c r="K12" s="64">
        <v>-600239</v>
      </c>
      <c r="L12" s="61"/>
      <c r="M12" s="65" t="s">
        <v>1052</v>
      </c>
      <c r="N12" s="61"/>
      <c r="O12" s="61"/>
      <c r="P12" s="61"/>
      <c r="Q12" s="61"/>
      <c r="R12" s="61">
        <v>494853</v>
      </c>
      <c r="S12" s="66" t="s">
        <v>63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815</v>
      </c>
      <c r="B13" s="62">
        <v>45943</v>
      </c>
      <c r="C13" s="63" t="s">
        <v>1206</v>
      </c>
      <c r="D13" s="67"/>
      <c r="E13" s="67">
        <v>-18900</v>
      </c>
      <c r="F13" s="61" t="str">
        <f t="shared" si="0"/>
        <v>貸</v>
      </c>
      <c r="G13" s="64">
        <f>SUM(D$6:E13)</f>
        <v>-2469356</v>
      </c>
      <c r="H13" s="61"/>
      <c r="I13" s="61" t="s">
        <v>1207</v>
      </c>
      <c r="J13" s="61" t="s">
        <v>114</v>
      </c>
      <c r="K13" s="64">
        <v>-18900</v>
      </c>
      <c r="L13" s="61"/>
      <c r="M13" s="65" t="s">
        <v>1182</v>
      </c>
      <c r="N13" s="61"/>
      <c r="O13" s="61"/>
      <c r="P13" s="61"/>
      <c r="Q13" s="61"/>
      <c r="R13" s="61">
        <v>513363</v>
      </c>
      <c r="S13" s="66" t="s">
        <v>63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815</v>
      </c>
      <c r="B14" s="62">
        <v>45943</v>
      </c>
      <c r="C14" s="63" t="s">
        <v>1208</v>
      </c>
      <c r="D14" s="67"/>
      <c r="E14" s="67">
        <v>-18900</v>
      </c>
      <c r="F14" s="61" t="str">
        <f t="shared" si="0"/>
        <v>貸</v>
      </c>
      <c r="G14" s="64">
        <f>SUM(D$6:E14)</f>
        <v>-2488256</v>
      </c>
      <c r="H14" s="61"/>
      <c r="I14" s="61" t="s">
        <v>1209</v>
      </c>
      <c r="J14" s="61" t="s">
        <v>114</v>
      </c>
      <c r="K14" s="64">
        <v>-18900</v>
      </c>
      <c r="L14" s="61"/>
      <c r="M14" s="65" t="s">
        <v>1182</v>
      </c>
      <c r="N14" s="61"/>
      <c r="O14" s="61"/>
      <c r="P14" s="61"/>
      <c r="Q14" s="61"/>
      <c r="R14" s="61">
        <v>513363</v>
      </c>
      <c r="S14" s="66" t="s">
        <v>63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815</v>
      </c>
      <c r="B15" s="62">
        <v>45943</v>
      </c>
      <c r="C15" s="63" t="s">
        <v>1210</v>
      </c>
      <c r="D15" s="67"/>
      <c r="E15" s="67">
        <v>-18900</v>
      </c>
      <c r="F15" s="61" t="str">
        <f t="shared" si="0"/>
        <v>貸</v>
      </c>
      <c r="G15" s="64">
        <f>SUM(D$6:E15)</f>
        <v>-2507156</v>
      </c>
      <c r="H15" s="61"/>
      <c r="I15" s="61" t="s">
        <v>1211</v>
      </c>
      <c r="J15" s="61" t="s">
        <v>114</v>
      </c>
      <c r="K15" s="64">
        <v>-18900</v>
      </c>
      <c r="L15" s="61"/>
      <c r="M15" s="65" t="s">
        <v>1182</v>
      </c>
      <c r="N15" s="61"/>
      <c r="O15" s="61"/>
      <c r="P15" s="61"/>
      <c r="Q15" s="61"/>
      <c r="R15" s="61">
        <v>513363</v>
      </c>
      <c r="S15" s="66" t="s">
        <v>63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815</v>
      </c>
      <c r="B16" s="62">
        <v>45943</v>
      </c>
      <c r="C16" s="63" t="s">
        <v>1212</v>
      </c>
      <c r="D16" s="67"/>
      <c r="E16" s="67">
        <v>-18900</v>
      </c>
      <c r="F16" s="61" t="str">
        <f t="shared" si="0"/>
        <v>貸</v>
      </c>
      <c r="G16" s="64">
        <f>SUM(D$6:E16)</f>
        <v>-2526056</v>
      </c>
      <c r="H16" s="61"/>
      <c r="I16" s="61" t="s">
        <v>1213</v>
      </c>
      <c r="J16" s="61" t="s">
        <v>114</v>
      </c>
      <c r="K16" s="64">
        <v>-18900</v>
      </c>
      <c r="L16" s="61"/>
      <c r="M16" s="65" t="s">
        <v>1182</v>
      </c>
      <c r="N16" s="61"/>
      <c r="O16" s="61"/>
      <c r="P16" s="61"/>
      <c r="Q16" s="61"/>
      <c r="R16" s="61">
        <v>513363</v>
      </c>
      <c r="S16" s="66" t="s">
        <v>63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815</v>
      </c>
      <c r="B17" s="62">
        <v>45943</v>
      </c>
      <c r="C17" s="63" t="s">
        <v>1214</v>
      </c>
      <c r="D17" s="67"/>
      <c r="E17" s="67">
        <v>-18900</v>
      </c>
      <c r="F17" s="61" t="str">
        <f t="shared" si="0"/>
        <v>貸</v>
      </c>
      <c r="G17" s="64">
        <f>SUM(D$6:E17)</f>
        <v>-2544956</v>
      </c>
      <c r="H17" s="61"/>
      <c r="I17" s="61" t="s">
        <v>1215</v>
      </c>
      <c r="J17" s="61" t="s">
        <v>114</v>
      </c>
      <c r="K17" s="64">
        <v>-18900</v>
      </c>
      <c r="L17" s="61"/>
      <c r="M17" s="65" t="s">
        <v>1182</v>
      </c>
      <c r="N17" s="61"/>
      <c r="O17" s="61"/>
      <c r="P17" s="61"/>
      <c r="Q17" s="61"/>
      <c r="R17" s="61">
        <v>513363</v>
      </c>
      <c r="S17" s="66" t="s">
        <v>63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815</v>
      </c>
      <c r="B18" s="62">
        <v>45943</v>
      </c>
      <c r="C18" s="63" t="s">
        <v>1216</v>
      </c>
      <c r="D18" s="67"/>
      <c r="E18" s="67">
        <v>-18900</v>
      </c>
      <c r="F18" s="61" t="str">
        <f t="shared" si="0"/>
        <v>貸</v>
      </c>
      <c r="G18" s="64">
        <f>SUM(D$6:E18)</f>
        <v>-2563856</v>
      </c>
      <c r="H18" s="61"/>
      <c r="I18" s="61" t="s">
        <v>1217</v>
      </c>
      <c r="J18" s="61" t="s">
        <v>114</v>
      </c>
      <c r="K18" s="64">
        <v>-18900</v>
      </c>
      <c r="L18" s="61"/>
      <c r="M18" s="65" t="s">
        <v>1182</v>
      </c>
      <c r="N18" s="61"/>
      <c r="O18" s="61"/>
      <c r="P18" s="61"/>
      <c r="Q18" s="61"/>
      <c r="R18" s="61">
        <v>513363</v>
      </c>
      <c r="S18" s="66" t="s">
        <v>63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815</v>
      </c>
      <c r="B19" s="62">
        <v>46094</v>
      </c>
      <c r="C19" s="63" t="s">
        <v>3542</v>
      </c>
      <c r="D19" s="67"/>
      <c r="E19" s="67">
        <v>-4750</v>
      </c>
      <c r="F19" s="61" t="str">
        <f t="shared" si="0"/>
        <v>貸</v>
      </c>
      <c r="G19" s="64">
        <f>SUM(D$6:E19)</f>
        <v>-2568606</v>
      </c>
      <c r="H19" s="61"/>
      <c r="I19" s="61" t="s">
        <v>3543</v>
      </c>
      <c r="J19" s="61" t="s">
        <v>114</v>
      </c>
      <c r="K19" s="64">
        <v>-4750</v>
      </c>
      <c r="L19" s="61"/>
      <c r="M19" s="65" t="s">
        <v>3544</v>
      </c>
      <c r="N19" s="61"/>
      <c r="O19" s="61"/>
      <c r="P19" s="61"/>
      <c r="Q19" s="61"/>
      <c r="R19" s="61">
        <v>542430</v>
      </c>
      <c r="S19" s="66" t="s">
        <v>63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815</v>
      </c>
      <c r="B20" s="62">
        <v>46104</v>
      </c>
      <c r="C20" s="63" t="s">
        <v>3545</v>
      </c>
      <c r="D20" s="67"/>
      <c r="E20" s="67">
        <v>-4500</v>
      </c>
      <c r="F20" s="61" t="str">
        <f t="shared" si="0"/>
        <v>貸</v>
      </c>
      <c r="G20" s="64">
        <f>SUM(D$6:E20)</f>
        <v>-2573106</v>
      </c>
      <c r="H20" s="61"/>
      <c r="I20" s="61" t="s">
        <v>3546</v>
      </c>
      <c r="J20" s="61" t="s">
        <v>114</v>
      </c>
      <c r="K20" s="64">
        <v>-4500</v>
      </c>
      <c r="L20" s="61"/>
      <c r="M20" s="65" t="s">
        <v>3547</v>
      </c>
      <c r="N20" s="61"/>
      <c r="O20" s="61"/>
      <c r="P20" s="61"/>
      <c r="Q20" s="61"/>
      <c r="R20" s="61">
        <v>546137</v>
      </c>
      <c r="S20" s="66" t="s">
        <v>63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815</v>
      </c>
      <c r="B21" s="62">
        <v>46106</v>
      </c>
      <c r="C21" s="63" t="s">
        <v>3548</v>
      </c>
      <c r="D21" s="67"/>
      <c r="E21" s="67">
        <v>-80000</v>
      </c>
      <c r="F21" s="61" t="str">
        <f t="shared" si="0"/>
        <v>貸</v>
      </c>
      <c r="G21" s="64">
        <f>SUM(D$6:E21)</f>
        <v>-2653106</v>
      </c>
      <c r="H21" s="61"/>
      <c r="I21" s="61" t="s">
        <v>3549</v>
      </c>
      <c r="J21" s="61" t="s">
        <v>114</v>
      </c>
      <c r="K21" s="64">
        <v>-80000</v>
      </c>
      <c r="L21" s="61"/>
      <c r="M21" s="65" t="s">
        <v>1150</v>
      </c>
      <c r="N21" s="61"/>
      <c r="O21" s="61"/>
      <c r="P21" s="61"/>
      <c r="Q21" s="61"/>
      <c r="R21" s="61">
        <v>546138</v>
      </c>
      <c r="S21" s="66" t="s">
        <v>63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 ht="17.25" thickBot="1">
      <c r="A22" s="44"/>
      <c r="B22" s="44" t="s">
        <v>115</v>
      </c>
      <c r="C22" s="44"/>
      <c r="D22" s="45">
        <f>SUBTOTAL(9,D7:D21)</f>
        <v>0</v>
      </c>
      <c r="E22" s="45">
        <f>SUBTOTAL(9,E7:E21)</f>
        <v>-2653106</v>
      </c>
      <c r="F22" s="44" t="str">
        <f t="shared" si="0"/>
        <v>貸</v>
      </c>
      <c r="G22" s="46">
        <f>G21</f>
        <v>-2653106</v>
      </c>
      <c r="H22" s="44"/>
      <c r="I22" s="44"/>
      <c r="J22" s="44"/>
      <c r="K22" s="47">
        <f>SUBTOTAL(9,K7:K21)</f>
        <v>-2653106</v>
      </c>
      <c r="L22" s="44"/>
      <c r="M22" s="48" t="s">
        <v>117</v>
      </c>
      <c r="N22" s="48" t="str">
        <f>IF(O22&gt;0,"借","貸")</f>
        <v>貸</v>
      </c>
      <c r="O22" s="49">
        <v>-2653106</v>
      </c>
      <c r="P22" s="44" t="s">
        <v>118</v>
      </c>
      <c r="Q22" s="49">
        <f>O22-G22</f>
        <v>0</v>
      </c>
      <c r="R22" s="44"/>
      <c r="S22" s="44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  <row r="531" spans="1:1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</row>
    <row r="532" spans="1:1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</row>
    <row r="533" spans="1:1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</row>
    <row r="534" spans="1:1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</row>
    <row r="535" spans="1:1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</row>
    <row r="536" spans="1:1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</row>
    <row r="537" spans="1:1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</row>
    <row r="538" spans="1:1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</row>
    <row r="539" spans="1:1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</row>
    <row r="540" spans="1:1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</row>
    <row r="541" spans="1:1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</row>
    <row r="542" spans="1:1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</row>
    <row r="543" spans="1:1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</row>
    <row r="544" spans="1:1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</row>
    <row r="545" spans="1:1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</row>
    <row r="546" spans="1:1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</row>
    <row r="547" spans="1:1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</row>
    <row r="548" spans="1:1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</row>
    <row r="549" spans="1:1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</row>
    <row r="550" spans="1:1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</row>
    <row r="551" spans="1:1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</row>
    <row r="552" spans="1:1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</row>
    <row r="553" spans="1:1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</row>
    <row r="554" spans="1:1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</row>
    <row r="555" spans="1:1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</row>
    <row r="556" spans="1:1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</row>
    <row r="557" spans="1:1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</row>
    <row r="558" spans="1:1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</row>
    <row r="559" spans="1:1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</row>
    <row r="560" spans="1:1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</row>
    <row r="561" spans="1:1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</row>
    <row r="562" spans="1:1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</row>
    <row r="563" spans="1:1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</row>
    <row r="564" spans="1:1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</row>
    <row r="565" spans="1:1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</row>
    <row r="566" spans="1:1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</row>
    <row r="567" spans="1:1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</row>
    <row r="568" spans="1:19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</row>
    <row r="569" spans="1:19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</row>
    <row r="570" spans="1:19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</row>
    <row r="571" spans="1:19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</row>
    <row r="572" spans="1:19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</row>
    <row r="573" spans="1:19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</row>
    <row r="574" spans="1:19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</row>
    <row r="575" spans="1:19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</row>
    <row r="576" spans="1:19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</row>
    <row r="577" spans="1:19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</row>
    <row r="578" spans="1:19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</row>
    <row r="579" spans="1:19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</row>
    <row r="580" spans="1:19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</row>
    <row r="581" spans="1:19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</row>
    <row r="582" spans="1:19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</row>
    <row r="583" spans="1:19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</row>
    <row r="584" spans="1:19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</row>
    <row r="585" spans="1:19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</row>
    <row r="586" spans="1:19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</row>
    <row r="587" spans="1:19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</row>
    <row r="588" spans="1:19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</row>
    <row r="589" spans="1:19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</row>
    <row r="590" spans="1:19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</row>
    <row r="591" spans="1:19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</row>
    <row r="592" spans="1:19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</row>
    <row r="593" spans="1:19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</row>
    <row r="594" spans="1:19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</row>
    <row r="595" spans="1:19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</row>
    <row r="596" spans="1:19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</row>
    <row r="597" spans="1:19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</row>
    <row r="598" spans="1:19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</row>
    <row r="599" spans="1:19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</row>
    <row r="600" spans="1:19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</row>
    <row r="601" spans="1:19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</row>
    <row r="602" spans="1:19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</row>
    <row r="603" spans="1:19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</row>
    <row r="604" spans="1:19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</row>
    <row r="605" spans="1:19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</row>
    <row r="606" spans="1:19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</row>
    <row r="607" spans="1:19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</row>
    <row r="608" spans="1:19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</row>
    <row r="609" spans="1:19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</row>
    <row r="610" spans="1:19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</row>
    <row r="611" spans="1:19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</row>
    <row r="612" spans="1:19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</row>
    <row r="613" spans="1:19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</row>
    <row r="614" spans="1:19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</row>
  </sheetData>
  <autoFilter ref="A5:AR883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54DA153A-E60D-4E8C-B11E-685BEBE8A9D4}">
      <formula1>0</formula1>
      <formula2>300</formula2>
    </dataValidation>
    <dataValidation type="textLength" errorStyle="information" allowBlank="1" showInputMessage="1" showErrorMessage="1" error="XLBVal:6=1200478.000_x000d__x000a_" sqref="G4" xr:uid="{4D4D7128-026D-4C11-B6F7-A17C73474438}">
      <formula1>0</formula1>
      <formula2>300</formula2>
    </dataValidation>
    <dataValidation type="textLength" errorStyle="information" allowBlank="1" showInputMessage="1" showErrorMessage="1" error="XLBVal:8=_x000d__x000a_XLBRowCount:8=17_x000d__x000a_XLBColCount:8=19_x000d__x000a_" sqref="A6" xr:uid="{F56E29EB-4990-4D7E-B95E-2E267CE0376E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WorkbookDrillPathInfo xmlns:xsd="http://www.w3.org/2001/XMLSchema" xmlns:xsi="http://www.w3.org/2001/XMLSchema-instance" xmlns="http://www.infor.com/qaa/DrillPath">
  <CurrentDrillPath>
    <DrillPathNode AnalysisType="NONE" Id="17c11175-962c-4fe5-a3cc-026e33ac580c" Name="參數頁" HandleSummaryReportOnly="false">
      <SuppressZero>false</SuppressZero>
      <Children/>
    </DrillPathNode>
    <DrillPathNode AnalysisType="NONE" Id="78b3a7f9-998c-4033-a920-0f6859679662" Name="114118" HandleSummaryReportOnly="false">
      <SuppressZero>false</SuppressZero>
      <Children/>
    </DrillPathNode>
    <DrillPathNode AnalysisType="NONE" Id="a13cebcd-6733-4619-9a95-99f3ff508393" Name="114138-04" HandleSummaryReportOnly="false" Source="">
      <SuppressZero>false</SuppressZero>
      <Children/>
    </DrillPathNode>
    <DrillPathNode AnalysisType="NONE" Id="1f5f2062-d5aa-437f-9181-eca16afca6da" Name="114138-14" HandleSummaryReportOnly="false" Source="">
      <SuppressZero>false</SuppressZero>
      <Children/>
    </DrillPathNode>
    <DrillPathNode AnalysisType="NONE" Id="ce461f27-a730-463b-824a-fabe99e65af3" Name="114140" HandleSummaryReportOnly="false" Source="">
      <SuppressZero>false</SuppressZero>
      <Children/>
    </DrillPathNode>
    <DrillPathNode AnalysisType="NONE" Id="624b733d-aada-4c12-8d6f-5155249e1191" Name="114172-05" HandleSummaryReportOnly="false" Source="">
      <SuppressZero>false</SuppressZero>
      <Children/>
    </DrillPathNode>
    <DrillPathNode AnalysisType="NONE" Id="cdd7a1fc-d4aa-4f5e-86ad-40252043f1d8" Name="114172-08" HandleSummaryReportOnly="false" Source="">
      <SuppressZero>false</SuppressZero>
      <Children/>
    </DrillPathNode>
    <DrillPathNode AnalysisType="NONE" Id="cea88ae8-4395-4e56-84df-2689dae724e9" Name="114172-18" HandleSummaryReportOnly="false" Source="">
      <SuppressZero>false</SuppressZero>
      <Children/>
    </DrillPathNode>
    <DrillPathNode AnalysisType="NONE" Id="3434393f-9adb-4b2e-ace8-bfbebb780e53" Name="114182" HandleSummaryReportOnly="false" Source="">
      <SuppressZero>false</SuppressZero>
      <Children/>
    </DrillPathNode>
    <DrillPathNode AnalysisType="NONE" Id="0c4f9a43-7388-42e7-83f0-4d34406e4db9" Name="119010" HandleSummaryReportOnly="false" Source="">
      <SuppressZero>false</SuppressZero>
      <Children/>
    </DrillPathNode>
    <DrillPathNode AnalysisType="NONE" Id="2af7e049-7fef-474d-8b77-ec286b88f471" Name="129030-01" HandleSummaryReportOnly="false" Source="">
      <SuppressZero>false</SuppressZero>
      <Children/>
    </DrillPathNode>
    <DrillPathNode AnalysisType="NONE" Id="bc7248c0-fd3c-49b4-b258-b144cdd7e8a8" Name="129030-99" HandleSummaryReportOnly="false" Source="">
      <SuppressZero>false</SuppressZero>
      <Children/>
    </DrillPathNode>
    <DrillPathNode AnalysisType="NONE" Id="91bc838c-fb3b-4073-a461-957f502b09f7" Name="214159-03" HandleSummaryReportOnly="false" Source="">
      <SuppressZero>false</SuppressZero>
      <Children/>
    </DrillPathNode>
  </CurrentDrillPath>
  <SavedDrillPath/>
</WorkbookDrillPathInfo>
</file>

<file path=customXml/itemProps1.xml><?xml version="1.0" encoding="utf-8"?>
<ds:datastoreItem xmlns:ds="http://schemas.openxmlformats.org/officeDocument/2006/customXml" ds:itemID="{E10791C0-6EF2-443F-823B-D5F3BD18B18E}">
  <ds:schemaRefs>
    <ds:schemaRef ds:uri="http://www.w3.org/2001/XMLSchema"/>
    <ds:schemaRef ds:uri="http://www.infor.com/qaa/DrillPath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具名範圍</vt:lpstr>
      </vt:variant>
      <vt:variant>
        <vt:i4>32</vt:i4>
      </vt:variant>
    </vt:vector>
  </HeadingPairs>
  <TitlesOfParts>
    <vt:vector size="49" baseType="lpstr">
      <vt:lpstr>公式</vt:lpstr>
      <vt:lpstr>QAA_Internal_WorkSheet</vt:lpstr>
      <vt:lpstr>QAA_Sample_Data_WorkSheet</vt:lpstr>
      <vt:lpstr>Report_Design_Format_HSheet</vt:lpstr>
      <vt:lpstr>參數頁</vt:lpstr>
      <vt:lpstr>114118</vt:lpstr>
      <vt:lpstr>114138-04</vt:lpstr>
      <vt:lpstr>114138-14</vt:lpstr>
      <vt:lpstr>114140</vt:lpstr>
      <vt:lpstr>114172-05</vt:lpstr>
      <vt:lpstr>114172-08</vt:lpstr>
      <vt:lpstr>114172-18</vt:lpstr>
      <vt:lpstr>114182</vt:lpstr>
      <vt:lpstr>119010</vt:lpstr>
      <vt:lpstr>129030-01</vt:lpstr>
      <vt:lpstr>129030-99</vt:lpstr>
      <vt:lpstr>214159-03</vt:lpstr>
      <vt:lpstr>M_AC</vt:lpstr>
      <vt:lpstr>M_BU</vt:lpstr>
      <vt:lpstr>M_BUNAME</vt:lpstr>
      <vt:lpstr>M_DATE</vt:lpstr>
      <vt:lpstr>M_DATE_NEXT</vt:lpstr>
      <vt:lpstr>M_LDG</vt:lpstr>
      <vt:lpstr>M_MyRange</vt:lpstr>
      <vt:lpstr>M_PRD_FROM</vt:lpstr>
      <vt:lpstr>M_PRD_LAST</vt:lpstr>
      <vt:lpstr>M_PRD_TO</vt:lpstr>
      <vt:lpstr>M_T1</vt:lpstr>
      <vt:lpstr>M_T10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'114118'!Print_Titles</vt:lpstr>
      <vt:lpstr>'114138-04'!Print_Titles</vt:lpstr>
      <vt:lpstr>'114138-14'!Print_Titles</vt:lpstr>
      <vt:lpstr>'114140'!Print_Titles</vt:lpstr>
      <vt:lpstr>'114172-05'!Print_Titles</vt:lpstr>
      <vt:lpstr>'114172-08'!Print_Titles</vt:lpstr>
      <vt:lpstr>'114172-18'!Print_Titles</vt:lpstr>
      <vt:lpstr>'114182'!Print_Titles</vt:lpstr>
      <vt:lpstr>'119010'!Print_Titles</vt:lpstr>
      <vt:lpstr>'129030-01'!Print_Titles</vt:lpstr>
      <vt:lpstr>'129030-99'!Print_Titles</vt:lpstr>
      <vt:lpstr>'214159-03'!Print_Titles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snaccuser</dc:creator>
  <cp:lastModifiedBy>郭芝吟</cp:lastModifiedBy>
  <cp:lastPrinted>2025-01-02T01:28:12Z</cp:lastPrinted>
  <dcterms:created xsi:type="dcterms:W3CDTF">2016-11-07T02:03:43Z</dcterms:created>
  <dcterms:modified xsi:type="dcterms:W3CDTF">2026-04-15T08:03:23Z</dcterms:modified>
</cp:coreProperties>
</file>